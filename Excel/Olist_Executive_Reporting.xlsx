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ORTFOLIO\olist_ecommerce_customer_acquisition_revenue_analytics\Excel\"/>
    </mc:Choice>
  </mc:AlternateContent>
  <xr:revisionPtr revIDLastSave="0" documentId="13_ncr:1_{0FCCEB93-08C2-417B-8C74-72875846D34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xecutive Summary" sheetId="1" r:id="rId1"/>
    <sheet name="Marketing Funnel" sheetId="2" r:id="rId2"/>
    <sheet name="Source Inventory" sheetId="3" r:id="rId3"/>
    <sheet name="Monthly Trend Template" sheetId="4" r:id="rId4"/>
    <sheet name="Data Quality" sheetId="5" r:id="rId5"/>
    <sheet name="Recommendations" sheetId="6" r:id="rId6"/>
  </sheets>
  <definedNames>
    <definedName name="_xlnm._FilterDatabase" localSheetId="4" hidden="1">'Data Quality'!$A$1:$D$9</definedName>
    <definedName name="_xlnm._FilterDatabase" localSheetId="3" hidden="1">'Monthly Trend Template'!$A$1:$F$501</definedName>
    <definedName name="_xlnm._FilterDatabase" localSheetId="5" hidden="1">Recommendations!$A$1:$F$8</definedName>
    <definedName name="_xlnm._FilterDatabase" localSheetId="2" hidden="1">'Source Inventory'!$A$1:$D$13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" i="4"/>
  <c r="B12" i="1"/>
  <c r="B11" i="1"/>
  <c r="B10" i="1"/>
  <c r="B8" i="1"/>
  <c r="B6" i="1"/>
  <c r="B5" i="1"/>
  <c r="B13" i="3"/>
  <c r="B7" i="2"/>
  <c r="B5" i="2"/>
  <c r="B4" i="2"/>
  <c r="B9" i="1" l="1"/>
  <c r="B7" i="1"/>
</calcChain>
</file>

<file path=xl/sharedStrings.xml><?xml version="1.0" encoding="utf-8"?>
<sst xmlns="http://schemas.openxmlformats.org/spreadsheetml/2006/main" count="183" uniqueCount="164">
  <si>
    <t>OLIST E-COMMERCE CUSTOMER ACQUISITION &amp; REVENUE ANALYTICS</t>
  </si>
  <si>
    <t>Executive reporting workbook | Confirmed project facts + reusable SQL-output templates</t>
  </si>
  <si>
    <t>Business question</t>
  </si>
  <si>
    <t>Do sellers acquired through the marketing funnel show up in marketplace transaction data?</t>
  </si>
  <si>
    <t>Marketing-qualified leads</t>
  </si>
  <si>
    <t>Closed deals</t>
  </si>
  <si>
    <t>Lead-to-deal rate</t>
  </si>
  <si>
    <t>Closed deals without a transactional seller match</t>
  </si>
  <si>
    <t>Share of closed deals without transaction match</t>
  </si>
  <si>
    <t>E-commerce / marketing source tables</t>
  </si>
  <si>
    <t>Approximate total source records across 11 tables</t>
  </si>
  <si>
    <t>Geolocation source rows</t>
  </si>
  <si>
    <t>Important interpretation</t>
  </si>
  <si>
    <t>No transaction match is a reconciliation gap; it does not by itself prove marketing attribution is wrong.</t>
  </si>
  <si>
    <t>Metric</t>
  </si>
  <si>
    <t>Count</t>
  </si>
  <si>
    <t>Calculation / interpretation</t>
  </si>
  <si>
    <t>Marketing-qualified leads (MQLs)</t>
  </si>
  <si>
    <t>Source table: raw_marketing_qualified_leads</t>
  </si>
  <si>
    <t>Source table: raw_closed_deals</t>
  </si>
  <si>
    <t>Closed deals divided by MQLs; assumes closed-deal MQLs belong to this lead population</t>
  </si>
  <si>
    <t>Closed deals with transaction match</t>
  </si>
  <si>
    <t>Derived from 842 total deals less 462 without transaction match</t>
  </si>
  <si>
    <t>Closed deals without transaction match</t>
  </si>
  <si>
    <t>Reported reconciliation result; re-run the matching SQL to validate after every reload</t>
  </si>
  <si>
    <t>No transaction match share</t>
  </si>
  <si>
    <t>Share of closed deals without a matching transactional seller</t>
  </si>
  <si>
    <t>Interpretation</t>
  </si>
  <si>
    <t>A missing transaction match can reflect timing, seller inactivity, ID mapping, scope, or a genuine attribution issue. Investigate before drawing conclusions.</t>
  </si>
  <si>
    <t>Dataset</t>
  </si>
  <si>
    <t>Rows</t>
  </si>
  <si>
    <t>Grain / note</t>
  </si>
  <si>
    <t>Validation status</t>
  </si>
  <si>
    <t>Customers</t>
  </si>
  <si>
    <t>Customer record</t>
  </si>
  <si>
    <t>PASS</t>
  </si>
  <si>
    <t>Sellers</t>
  </si>
  <si>
    <t>Seller record</t>
  </si>
  <si>
    <t>Product category translations</t>
  </si>
  <si>
    <t>Category translation</t>
  </si>
  <si>
    <t>Products</t>
  </si>
  <si>
    <t>Product record</t>
  </si>
  <si>
    <t>Orders</t>
  </si>
  <si>
    <t>Order record</t>
  </si>
  <si>
    <t>Order items</t>
  </si>
  <si>
    <t>Order + item</t>
  </si>
  <si>
    <t>Payments</t>
  </si>
  <si>
    <t>Order + payment record</t>
  </si>
  <si>
    <t>Reviews</t>
  </si>
  <si>
    <t>Review record; duplicate review IDs observed in profiling</t>
  </si>
  <si>
    <t>PASS source load; investigate duplicate business keys</t>
  </si>
  <si>
    <t>Geolocation</t>
  </si>
  <si>
    <t>ZIP prefix + location; high-volume file</t>
  </si>
  <si>
    <t>PASS source file row-count validation</t>
  </si>
  <si>
    <t>Marketing-qualified lead</t>
  </si>
  <si>
    <t>Closed lead / seller acquisition</t>
  </si>
  <si>
    <t>TOTAL SOURCE ROWS</t>
  </si>
  <si>
    <t>Sum across tables; not unique entities</t>
  </si>
  <si>
    <t>Purchase month (YYYY-MM)</t>
  </si>
  <si>
    <t>Delivered orders</t>
  </si>
  <si>
    <t>Unique customers</t>
  </si>
  <si>
    <t>Item GMV (BRL)</t>
  </si>
  <si>
    <t>Freight value (BRL)</t>
  </si>
  <si>
    <t>AOV (item GMV / orders) - formula</t>
  </si>
  <si>
    <t>Check / observation</t>
  </si>
  <si>
    <t>Current known result</t>
  </si>
  <si>
    <t>Business meaning</t>
  </si>
  <si>
    <t>Recommended action</t>
  </si>
  <si>
    <t>Source row counts</t>
  </si>
  <si>
    <t>All 11 source files match expected row counts in ingestion summary</t>
  </si>
  <si>
    <t>Supports complete file ingestion, not necessarily clean business logic</t>
  </si>
  <si>
    <t>Re-run row-count checks after each reload</t>
  </si>
  <si>
    <t>Geolocation rows</t>
  </si>
  <si>
    <t>1,000,163 source rows</t>
  </si>
  <si>
    <t>Large table can hit client/server timeout when transformed in one query</t>
  </si>
  <si>
    <t>Load/clean in batches if timeout recurs; compare staging and cleaned counts</t>
  </si>
  <si>
    <t>Order reviews loading</t>
  </si>
  <si>
    <t>99,224 rows after escape-handling fix</t>
  </si>
  <si>
    <t>CSV escape interpretation previously caused silent truncation</t>
  </si>
  <si>
    <t>Keep ESCAPED BY '' behavior and verify count + warnings</t>
  </si>
  <si>
    <t>Required-key failures</t>
  </si>
  <si>
    <t>0 reported in project documentation</t>
  </si>
  <si>
    <t>No missing required-key failures in the documented validation run</t>
  </si>
  <si>
    <t>Repeat validation after reloads</t>
  </si>
  <si>
    <t>Referential-integrity failures</t>
  </si>
  <si>
    <t>No broken references found by documented checks</t>
  </si>
  <si>
    <t>Repeat validation after changes</t>
  </si>
  <si>
    <t>Duplicate review IDs</t>
  </si>
  <si>
    <t>814 observed</t>
  </si>
  <si>
    <t>Review ID duplicates need business-rule assessment</t>
  </si>
  <si>
    <t>Check whether source rows represent distinct review events before deduplication</t>
  </si>
  <si>
    <t>Missing category translations</t>
  </si>
  <si>
    <t>13 observed</t>
  </si>
  <si>
    <t>Some category names do not map to English translation</t>
  </si>
  <si>
    <t>Retain original category and label unmapped values explicitly</t>
  </si>
  <si>
    <t>462 of 842 (about 55%)</t>
  </si>
  <si>
    <t>Acquisition-to-transaction reconciliation gap</t>
  </si>
  <si>
    <t>Investigate IDs, timing, inactive sellers, and mapping logic</t>
  </si>
  <si>
    <t>Priority</t>
  </si>
  <si>
    <t>Recommendation</t>
  </si>
  <si>
    <t>Why it matters</t>
  </si>
  <si>
    <t>Suggested owner</t>
  </si>
  <si>
    <t>Measure of success</t>
  </si>
  <si>
    <t>Caveat</t>
  </si>
  <si>
    <t>High</t>
  </si>
  <si>
    <t>Create a weekly acquisition-to-transaction reconciliation report</t>
  </si>
  <si>
    <t>462/842 closed deals have no matching transactional seller record in the reported analysis</t>
  </si>
  <si>
    <t>Marketing Operations + Data</t>
  </si>
  <si>
    <t>Unmatched share trends down; every unmatched deal has a reason code</t>
  </si>
  <si>
    <t>Do not assume every unmatched deal is a failed acquisition</t>
  </si>
  <si>
    <t>Add a seller activation follow-up window</t>
  </si>
  <si>
    <t>Some sellers may need time between deal closure and first marketplace transaction</t>
  </si>
  <si>
    <t>Seller Success</t>
  </si>
  <si>
    <t>Share of acquired sellers with first order within 30/60/90 days</t>
  </si>
  <si>
    <t>Define activation window and cohort dates before measuring</t>
  </si>
  <si>
    <t>Standardise seller IDs across marketing and transaction systems</t>
  </si>
  <si>
    <t>ID mismatch can make active sellers look unmatched</t>
  </si>
  <si>
    <t>Data / CRM Operations</t>
  </si>
  <si>
    <t>Lower unresolved ID-mapping exceptions</t>
  </si>
  <si>
    <t>Use auditable crosswalks; never fuzzy-match silently</t>
  </si>
  <si>
    <t>Medium</t>
  </si>
  <si>
    <t>Track monthly orders, item GMV, AOV and freight separately</t>
  </si>
  <si>
    <t>Separating volume, merchandise value and freight gives a clearer marketplace picture</t>
  </si>
  <si>
    <t>Analytics</t>
  </si>
  <si>
    <t>Monthly trend reviewed with business stakeholders</t>
  </si>
  <si>
    <t>Item GMV is not profit and excludes freight</t>
  </si>
  <si>
    <t>Segment acquired sellers by activity and revenue contribution</t>
  </si>
  <si>
    <t>A single conversion number hides differences in seller outcomes</t>
  </si>
  <si>
    <t>Seller Success + Analytics</t>
  </si>
  <si>
    <t>Activation and GMV reported by acquisition cohort / segment</t>
  </si>
  <si>
    <t>Avoid ranking sellers without minimum observation windows</t>
  </si>
  <si>
    <t>Monitor delivery and review outcomes together</t>
  </si>
  <si>
    <t>Fulfilment experience may affect customer satisfaction and repeat behavior</t>
  </si>
  <si>
    <t>Operations</t>
  </si>
  <si>
    <t>Delivery-time and review-score trends by cohort</t>
  </si>
  <si>
    <t>Association is not proof of causation</t>
  </si>
  <si>
    <t>Keep ingestion quality checks as release gates</t>
  </si>
  <si>
    <t>Past silent row truncation shows why row counts and warnings matter</t>
  </si>
  <si>
    <t>Data Engineering / Analyst</t>
  </si>
  <si>
    <t>All expected row counts match; zero unexplained load warnings</t>
  </si>
  <si>
    <t>A successful load alone does not prove semantic correctness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</si>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</sst>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i/>
      <sz val="11"/>
      <color rgb="FF666666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0" borderId="0" xfId="0" applyNumberFormat="1"/>
    <xf numFmtId="0" fontId="3" fillId="2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0" fillId="0" borderId="2" xfId="0" applyBorder="1"/>
    <xf numFmtId="4" fontId="0" fillId="4" borderId="2" xfId="0" applyNumberForma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4" fontId="0" fillId="5" borderId="2" xfId="0" applyNumberForma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4" fontId="0" fillId="0" borderId="2" xfId="0" applyNumberFormat="1" applyBorder="1"/>
    <xf numFmtId="164" fontId="0" fillId="4" borderId="2" xfId="0" applyNumberFormat="1" applyFill="1" applyBorder="1" applyAlignment="1">
      <alignment vertical="top" wrapText="1"/>
    </xf>
    <xf numFmtId="164" fontId="0" fillId="5" borderId="2" xfId="0" applyNumberForma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0" borderId="0" xfId="0" applyBorder="1"/>
    <xf numFmtId="0" fontId="0" fillId="6" borderId="0" xfId="0" applyFill="1" applyBorder="1"/>
    <xf numFmtId="0" fontId="2" fillId="3" borderId="2" xfId="0" applyFont="1" applyFill="1" applyBorder="1" applyAlignment="1">
      <alignment vertical="top" wrapText="1"/>
    </xf>
    <xf numFmtId="2" fontId="0" fillId="4" borderId="2" xfId="0" applyNumberFormat="1" applyFill="1" applyBorder="1" applyAlignment="1">
      <alignment vertical="top" wrapText="1"/>
    </xf>
    <xf numFmtId="10" fontId="0" fillId="5" borderId="2" xfId="1" applyNumberFormat="1" applyFont="1" applyFill="1" applyBorder="1" applyAlignment="1">
      <alignment vertical="top" wrapText="1"/>
    </xf>
    <xf numFmtId="0" fontId="0" fillId="4" borderId="2" xfId="0" applyNumberFormat="1" applyFill="1" applyBorder="1" applyAlignment="1">
      <alignment vertical="top" wrapText="1"/>
    </xf>
    <xf numFmtId="10" fontId="0" fillId="5" borderId="2" xfId="0" applyNumberFormat="1" applyFill="1" applyBorder="1" applyAlignment="1">
      <alignment vertical="top" wrapText="1"/>
    </xf>
    <xf numFmtId="0" fontId="3" fillId="6" borderId="0" xfId="0" applyFont="1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Marketing funnel counts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'Marketing Funnel'!$A$2:$A$3</c:f>
              <c:strCache>
                <c:ptCount val="2"/>
                <c:pt idx="0">
                  <c:v>Marketing-qualified leads (MQLs)</c:v>
                </c:pt>
                <c:pt idx="1">
                  <c:v>Closed deals</c:v>
                </c:pt>
              </c:strCache>
            </c:strRef>
          </c:cat>
          <c:val>
            <c:numRef>
              <c:f>'Marketing Funnel'!$B$2:$B$3</c:f>
              <c:numCache>
                <c:formatCode>General</c:formatCode>
                <c:ptCount val="2"/>
                <c:pt idx="0">
                  <c:v>8000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8-42AC-8E38-55A3C1333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"/>
  <sheetViews>
    <sheetView showGridLines="0" workbookViewId="0">
      <pane ySplit="3" topLeftCell="A4" activePane="bottomLeft" state="frozen"/>
      <selection pane="bottomLeft" activeCell="A11" sqref="A11"/>
    </sheetView>
  </sheetViews>
  <sheetFormatPr defaultRowHeight="14.4" x14ac:dyDescent="0.3"/>
  <cols>
    <col min="1" max="1" width="48" customWidth="1"/>
    <col min="2" max="2" width="42" customWidth="1"/>
    <col min="3" max="4" width="20" style="18" customWidth="1"/>
    <col min="5" max="16384" width="8.88671875" style="18"/>
  </cols>
  <sheetData>
    <row r="1" spans="1:4" customFormat="1" ht="30" customHeight="1" x14ac:dyDescent="0.3">
      <c r="A1" s="1" t="s">
        <v>0</v>
      </c>
    </row>
    <row r="2" spans="1:4" customFormat="1" ht="28.8" x14ac:dyDescent="0.3">
      <c r="A2" s="2" t="s">
        <v>1</v>
      </c>
    </row>
    <row r="3" spans="1:4" s="19" customFormat="1" x14ac:dyDescent="0.3">
      <c r="A3" s="17"/>
      <c r="B3" s="17"/>
      <c r="C3" s="17"/>
      <c r="D3" s="17"/>
    </row>
    <row r="4" spans="1:4" ht="28.8" x14ac:dyDescent="0.3">
      <c r="A4" s="20" t="s">
        <v>2</v>
      </c>
      <c r="B4" s="10" t="s">
        <v>3</v>
      </c>
      <c r="C4" s="17"/>
      <c r="D4" s="17"/>
    </row>
    <row r="5" spans="1:4" x14ac:dyDescent="0.3">
      <c r="A5" s="20" t="s">
        <v>4</v>
      </c>
      <c r="B5" s="12">
        <f>'Marketing Funnel'!B2</f>
        <v>8000</v>
      </c>
      <c r="C5" s="17"/>
      <c r="D5" s="17"/>
    </row>
    <row r="6" spans="1:4" x14ac:dyDescent="0.3">
      <c r="A6" s="20" t="s">
        <v>5</v>
      </c>
      <c r="B6" s="21">
        <f>'Marketing Funnel'!B3</f>
        <v>842</v>
      </c>
      <c r="C6" s="17"/>
      <c r="D6" s="17"/>
    </row>
    <row r="7" spans="1:4" x14ac:dyDescent="0.3">
      <c r="A7" s="20" t="s">
        <v>6</v>
      </c>
      <c r="B7" s="22">
        <f>IFERROR(B6/B5,0)</f>
        <v>0.10525</v>
      </c>
      <c r="C7" s="17"/>
      <c r="D7" s="17"/>
    </row>
    <row r="8" spans="1:4" x14ac:dyDescent="0.3">
      <c r="A8" s="20" t="s">
        <v>7</v>
      </c>
      <c r="B8" s="23">
        <f>'Marketing Funnel'!B6</f>
        <v>462</v>
      </c>
      <c r="C8" s="17"/>
      <c r="D8" s="17"/>
    </row>
    <row r="9" spans="1:4" x14ac:dyDescent="0.3">
      <c r="A9" s="20" t="s">
        <v>8</v>
      </c>
      <c r="B9" s="24">
        <f>IFERROR(B8/B6,0)</f>
        <v>0.54869358669833734</v>
      </c>
      <c r="C9" s="17"/>
      <c r="D9" s="17"/>
    </row>
    <row r="10" spans="1:4" x14ac:dyDescent="0.3">
      <c r="A10" s="20" t="s">
        <v>9</v>
      </c>
      <c r="B10" s="10">
        <f>COUNTA('Source Inventory'!A2:A12)</f>
        <v>11</v>
      </c>
      <c r="C10" s="17"/>
      <c r="D10" s="17"/>
    </row>
    <row r="11" spans="1:4" x14ac:dyDescent="0.3">
      <c r="A11" s="20" t="s">
        <v>10</v>
      </c>
      <c r="B11" s="12">
        <f>SUM('Source Inventory'!B2:B12)</f>
        <v>1559764</v>
      </c>
      <c r="C11" s="17"/>
      <c r="D11" s="17"/>
    </row>
    <row r="12" spans="1:4" x14ac:dyDescent="0.3">
      <c r="A12" s="20" t="s">
        <v>11</v>
      </c>
      <c r="B12" s="10">
        <f>'Source Inventory'!B10</f>
        <v>1000163</v>
      </c>
      <c r="C12" s="17"/>
      <c r="D12" s="17"/>
    </row>
    <row r="13" spans="1:4" ht="43.2" x14ac:dyDescent="0.3">
      <c r="A13" s="20" t="s">
        <v>12</v>
      </c>
      <c r="B13" s="12" t="s">
        <v>13</v>
      </c>
      <c r="C13" s="17"/>
      <c r="D13" s="17"/>
    </row>
    <row r="14" spans="1:4" x14ac:dyDescent="0.3">
      <c r="A14" s="16"/>
      <c r="B14" s="16"/>
      <c r="C14" s="16"/>
      <c r="D14" s="17"/>
    </row>
    <row r="15" spans="1:4" s="19" customFormat="1" x14ac:dyDescent="0.3">
      <c r="A15" s="17"/>
      <c r="B15" s="17"/>
      <c r="C15" s="17"/>
      <c r="D15" s="17"/>
    </row>
    <row r="16" spans="1:4" x14ac:dyDescent="0.3">
      <c r="A16" s="25"/>
    </row>
    <row r="17" spans="1:1" x14ac:dyDescent="0.3">
      <c r="A17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42" customWidth="1"/>
    <col min="2" max="2" width="26" customWidth="1"/>
    <col min="3" max="3" width="78" customWidth="1"/>
  </cols>
  <sheetData>
    <row r="1" spans="1:3" ht="30" customHeight="1" x14ac:dyDescent="0.3">
      <c r="A1" s="6" t="s">
        <v>14</v>
      </c>
      <c r="B1" s="6" t="s">
        <v>15</v>
      </c>
      <c r="C1" s="6" t="s">
        <v>16</v>
      </c>
    </row>
    <row r="2" spans="1:3" x14ac:dyDescent="0.3">
      <c r="A2" s="10" t="s">
        <v>17</v>
      </c>
      <c r="B2" s="10">
        <v>8000</v>
      </c>
      <c r="C2" s="10" t="s">
        <v>18</v>
      </c>
    </row>
    <row r="3" spans="1:3" x14ac:dyDescent="0.3">
      <c r="A3" s="12" t="s">
        <v>5</v>
      </c>
      <c r="B3" s="12">
        <v>842</v>
      </c>
      <c r="C3" s="12" t="s">
        <v>19</v>
      </c>
    </row>
    <row r="4" spans="1:3" x14ac:dyDescent="0.3">
      <c r="A4" s="10" t="s">
        <v>6</v>
      </c>
      <c r="B4" s="14">
        <f>B3/B2</f>
        <v>0.10525</v>
      </c>
      <c r="C4" s="10" t="s">
        <v>20</v>
      </c>
    </row>
    <row r="5" spans="1:3" x14ac:dyDescent="0.3">
      <c r="A5" s="12" t="s">
        <v>21</v>
      </c>
      <c r="B5" s="12">
        <f>B3-B6</f>
        <v>380</v>
      </c>
      <c r="C5" s="12" t="s">
        <v>22</v>
      </c>
    </row>
    <row r="6" spans="1:3" x14ac:dyDescent="0.3">
      <c r="A6" s="10" t="s">
        <v>23</v>
      </c>
      <c r="B6" s="10">
        <v>462</v>
      </c>
      <c r="C6" s="10" t="s">
        <v>24</v>
      </c>
    </row>
    <row r="7" spans="1:3" x14ac:dyDescent="0.3">
      <c r="A7" s="12" t="s">
        <v>25</v>
      </c>
      <c r="B7" s="15">
        <f>B6/B3</f>
        <v>0.54869358669833734</v>
      </c>
      <c r="C7" s="12" t="s">
        <v>26</v>
      </c>
    </row>
    <row r="8" spans="1:3" x14ac:dyDescent="0.3">
      <c r="A8" s="16"/>
      <c r="B8" s="16"/>
      <c r="C8" s="3"/>
    </row>
    <row r="9" spans="1:3" ht="86.4" x14ac:dyDescent="0.3">
      <c r="A9" s="12" t="s">
        <v>27</v>
      </c>
      <c r="B9" s="12" t="s">
        <v>28</v>
      </c>
    </row>
    <row r="10" spans="1:3" x14ac:dyDescent="0.3">
      <c r="A10" s="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3"/>
  <sheetViews>
    <sheetView showGridLines="0" workbookViewId="0">
      <pane ySplit="1" topLeftCell="A2" activePane="bottomLeft" state="frozen"/>
      <selection pane="bottomLeft" activeCell="B2" sqref="B2:B12"/>
    </sheetView>
  </sheetViews>
  <sheetFormatPr defaultRowHeight="14.4" x14ac:dyDescent="0.3"/>
  <cols>
    <col min="1" max="1" width="34" customWidth="1"/>
    <col min="2" max="2" width="18" customWidth="1"/>
    <col min="3" max="3" width="70" customWidth="1"/>
    <col min="4" max="4" width="40" customWidth="1"/>
  </cols>
  <sheetData>
    <row r="1" spans="1:4" ht="30" customHeight="1" x14ac:dyDescent="0.3">
      <c r="A1" s="6" t="s">
        <v>29</v>
      </c>
      <c r="B1" s="6" t="s">
        <v>30</v>
      </c>
      <c r="C1" s="6" t="s">
        <v>31</v>
      </c>
      <c r="D1" s="6" t="s">
        <v>32</v>
      </c>
    </row>
    <row r="2" spans="1:4" x14ac:dyDescent="0.3">
      <c r="A2" s="10" t="s">
        <v>33</v>
      </c>
      <c r="B2" s="10">
        <v>99441</v>
      </c>
      <c r="C2" s="10" t="s">
        <v>34</v>
      </c>
      <c r="D2" s="10" t="s">
        <v>35</v>
      </c>
    </row>
    <row r="3" spans="1:4" x14ac:dyDescent="0.3">
      <c r="A3" s="12" t="s">
        <v>36</v>
      </c>
      <c r="B3" s="12">
        <v>3095</v>
      </c>
      <c r="C3" s="12" t="s">
        <v>37</v>
      </c>
      <c r="D3" s="12" t="s">
        <v>35</v>
      </c>
    </row>
    <row r="4" spans="1:4" x14ac:dyDescent="0.3">
      <c r="A4" s="10" t="s">
        <v>38</v>
      </c>
      <c r="B4" s="10">
        <v>71</v>
      </c>
      <c r="C4" s="10" t="s">
        <v>39</v>
      </c>
      <c r="D4" s="10" t="s">
        <v>35</v>
      </c>
    </row>
    <row r="5" spans="1:4" x14ac:dyDescent="0.3">
      <c r="A5" s="12" t="s">
        <v>40</v>
      </c>
      <c r="B5" s="12">
        <v>32951</v>
      </c>
      <c r="C5" s="12" t="s">
        <v>41</v>
      </c>
      <c r="D5" s="12" t="s">
        <v>35</v>
      </c>
    </row>
    <row r="6" spans="1:4" x14ac:dyDescent="0.3">
      <c r="A6" s="10" t="s">
        <v>42</v>
      </c>
      <c r="B6" s="10">
        <v>99441</v>
      </c>
      <c r="C6" s="10" t="s">
        <v>43</v>
      </c>
      <c r="D6" s="10" t="s">
        <v>35</v>
      </c>
    </row>
    <row r="7" spans="1:4" x14ac:dyDescent="0.3">
      <c r="A7" s="12" t="s">
        <v>44</v>
      </c>
      <c r="B7" s="12">
        <v>112650</v>
      </c>
      <c r="C7" s="12" t="s">
        <v>45</v>
      </c>
      <c r="D7" s="12" t="s">
        <v>35</v>
      </c>
    </row>
    <row r="8" spans="1:4" x14ac:dyDescent="0.3">
      <c r="A8" s="10" t="s">
        <v>46</v>
      </c>
      <c r="B8" s="10">
        <v>103886</v>
      </c>
      <c r="C8" s="10" t="s">
        <v>47</v>
      </c>
      <c r="D8" s="10" t="s">
        <v>35</v>
      </c>
    </row>
    <row r="9" spans="1:4" ht="28.8" x14ac:dyDescent="0.3">
      <c r="A9" s="12" t="s">
        <v>48</v>
      </c>
      <c r="B9" s="12">
        <v>99224</v>
      </c>
      <c r="C9" s="12" t="s">
        <v>49</v>
      </c>
      <c r="D9" s="12" t="s">
        <v>50</v>
      </c>
    </row>
    <row r="10" spans="1:4" x14ac:dyDescent="0.3">
      <c r="A10" s="10" t="s">
        <v>51</v>
      </c>
      <c r="B10" s="10">
        <v>1000163</v>
      </c>
      <c r="C10" s="10" t="s">
        <v>52</v>
      </c>
      <c r="D10" s="10" t="s">
        <v>53</v>
      </c>
    </row>
    <row r="11" spans="1:4" x14ac:dyDescent="0.3">
      <c r="A11" s="12" t="s">
        <v>4</v>
      </c>
      <c r="B11" s="12">
        <v>8000</v>
      </c>
      <c r="C11" s="12" t="s">
        <v>54</v>
      </c>
      <c r="D11" s="12" t="s">
        <v>35</v>
      </c>
    </row>
    <row r="12" spans="1:4" x14ac:dyDescent="0.3">
      <c r="A12" s="10" t="s">
        <v>5</v>
      </c>
      <c r="B12" s="10">
        <v>842</v>
      </c>
      <c r="C12" s="10" t="s">
        <v>55</v>
      </c>
      <c r="D12" s="10" t="s">
        <v>35</v>
      </c>
    </row>
    <row r="13" spans="1:4" x14ac:dyDescent="0.3">
      <c r="A13" s="12" t="s">
        <v>56</v>
      </c>
      <c r="B13" s="12">
        <f>SUM(B2:B12)</f>
        <v>1559764</v>
      </c>
      <c r="C13" s="12" t="s">
        <v>57</v>
      </c>
      <c r="D13" s="12"/>
    </row>
  </sheetData>
  <autoFilter ref="A1:D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1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24" customWidth="1"/>
    <col min="2" max="3" width="18" customWidth="1"/>
    <col min="4" max="4" width="20" customWidth="1"/>
    <col min="5" max="5" width="21" customWidth="1"/>
    <col min="6" max="6" width="28" customWidth="1"/>
  </cols>
  <sheetData>
    <row r="1" spans="1:6" ht="30" customHeight="1" x14ac:dyDescent="0.3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</row>
    <row r="2" spans="1:6" x14ac:dyDescent="0.3">
      <c r="A2" s="7" t="s">
        <v>141</v>
      </c>
      <c r="B2" s="8">
        <v>1</v>
      </c>
      <c r="C2" s="8">
        <v>1</v>
      </c>
      <c r="D2" s="8">
        <v>134.97</v>
      </c>
      <c r="E2" s="8">
        <v>8.49</v>
      </c>
      <c r="F2" s="9">
        <f>IFERROR(D2/B2,0)</f>
        <v>134.97</v>
      </c>
    </row>
    <row r="3" spans="1:6" x14ac:dyDescent="0.3">
      <c r="A3" s="10" t="s">
        <v>142</v>
      </c>
      <c r="B3" s="10">
        <v>265</v>
      </c>
      <c r="C3" s="10">
        <v>265</v>
      </c>
      <c r="D3" s="9">
        <v>40325.11</v>
      </c>
      <c r="E3" s="9">
        <v>6165.55</v>
      </c>
      <c r="F3" s="9">
        <f t="shared" ref="F3:F24" si="0">IFERROR(D3/B3,0)</f>
        <v>152.17022641509433</v>
      </c>
    </row>
    <row r="4" spans="1:6" x14ac:dyDescent="0.3">
      <c r="A4" s="12" t="s">
        <v>143</v>
      </c>
      <c r="B4" s="12">
        <v>1</v>
      </c>
      <c r="C4" s="12">
        <v>1</v>
      </c>
      <c r="D4" s="11">
        <v>10.9</v>
      </c>
      <c r="E4" s="11">
        <v>8.7200000000000006</v>
      </c>
      <c r="F4" s="9">
        <f t="shared" si="0"/>
        <v>10.9</v>
      </c>
    </row>
    <row r="5" spans="1:6" x14ac:dyDescent="0.3">
      <c r="A5" s="10" t="s">
        <v>144</v>
      </c>
      <c r="B5" s="10">
        <v>750</v>
      </c>
      <c r="C5" s="10">
        <v>750</v>
      </c>
      <c r="D5" s="9">
        <v>111798.36</v>
      </c>
      <c r="E5" s="9">
        <v>15684.01</v>
      </c>
      <c r="F5" s="9">
        <f t="shared" si="0"/>
        <v>149.06448</v>
      </c>
    </row>
    <row r="6" spans="1:6" x14ac:dyDescent="0.3">
      <c r="A6" s="12" t="s">
        <v>145</v>
      </c>
      <c r="B6" s="12">
        <v>1653</v>
      </c>
      <c r="C6" s="12">
        <v>1653</v>
      </c>
      <c r="D6" s="11">
        <v>234223.4</v>
      </c>
      <c r="E6" s="11">
        <v>37015.919999999998</v>
      </c>
      <c r="F6" s="9">
        <f t="shared" si="0"/>
        <v>141.69594676346037</v>
      </c>
    </row>
    <row r="7" spans="1:6" x14ac:dyDescent="0.3">
      <c r="A7" s="10" t="s">
        <v>146</v>
      </c>
      <c r="B7" s="10">
        <v>2546</v>
      </c>
      <c r="C7" s="10">
        <v>2546</v>
      </c>
      <c r="D7" s="9">
        <v>359198.85</v>
      </c>
      <c r="E7" s="9">
        <v>55132.1</v>
      </c>
      <c r="F7" s="9">
        <f t="shared" si="0"/>
        <v>141.0836017282011</v>
      </c>
    </row>
    <row r="8" spans="1:6" x14ac:dyDescent="0.3">
      <c r="A8" s="12" t="s">
        <v>147</v>
      </c>
      <c r="B8" s="12">
        <v>2303</v>
      </c>
      <c r="C8" s="12">
        <v>2303</v>
      </c>
      <c r="D8" s="11">
        <v>340669.68</v>
      </c>
      <c r="E8" s="11">
        <v>50142.720000000001</v>
      </c>
      <c r="F8" s="9">
        <f t="shared" si="0"/>
        <v>147.92430742509771</v>
      </c>
    </row>
    <row r="9" spans="1:6" x14ac:dyDescent="0.3">
      <c r="A9" s="10" t="s">
        <v>148</v>
      </c>
      <c r="B9" s="10">
        <v>3546</v>
      </c>
      <c r="C9" s="10">
        <v>3546</v>
      </c>
      <c r="D9" s="9">
        <v>489338.25</v>
      </c>
      <c r="E9" s="9">
        <v>77513.149999999994</v>
      </c>
      <c r="F9" s="9">
        <f t="shared" si="0"/>
        <v>137.99725042301185</v>
      </c>
    </row>
    <row r="10" spans="1:6" x14ac:dyDescent="0.3">
      <c r="A10" s="12" t="s">
        <v>149</v>
      </c>
      <c r="B10" s="12">
        <v>3135</v>
      </c>
      <c r="C10" s="12">
        <v>3135</v>
      </c>
      <c r="D10" s="11">
        <v>421923.37</v>
      </c>
      <c r="E10" s="11">
        <v>68127</v>
      </c>
      <c r="F10" s="9">
        <f t="shared" si="0"/>
        <v>134.58480701754385</v>
      </c>
    </row>
    <row r="11" spans="1:6" x14ac:dyDescent="0.3">
      <c r="A11" s="10" t="s">
        <v>150</v>
      </c>
      <c r="B11" s="10">
        <v>3872</v>
      </c>
      <c r="C11" s="10">
        <v>3872</v>
      </c>
      <c r="D11" s="9">
        <v>481604.52</v>
      </c>
      <c r="E11" s="9">
        <v>84694.56</v>
      </c>
      <c r="F11" s="9">
        <f t="shared" si="0"/>
        <v>124.3813326446281</v>
      </c>
    </row>
    <row r="12" spans="1:6" x14ac:dyDescent="0.3">
      <c r="A12" s="12" t="s">
        <v>151</v>
      </c>
      <c r="B12" s="12">
        <v>4193</v>
      </c>
      <c r="C12" s="12">
        <v>4193</v>
      </c>
      <c r="D12" s="11">
        <v>554699.69999999995</v>
      </c>
      <c r="E12" s="11">
        <v>91132.66</v>
      </c>
      <c r="F12" s="9">
        <f t="shared" si="0"/>
        <v>132.29184354877174</v>
      </c>
    </row>
    <row r="13" spans="1:6" x14ac:dyDescent="0.3">
      <c r="A13" s="10" t="s">
        <v>152</v>
      </c>
      <c r="B13" s="10">
        <v>4150</v>
      </c>
      <c r="C13" s="10">
        <v>4150</v>
      </c>
      <c r="D13" s="9">
        <v>607399.67000000004</v>
      </c>
      <c r="E13" s="9">
        <v>93677.82</v>
      </c>
      <c r="F13" s="9">
        <f t="shared" si="0"/>
        <v>146.36136626506024</v>
      </c>
    </row>
    <row r="14" spans="1:6" x14ac:dyDescent="0.3">
      <c r="A14" s="12" t="s">
        <v>153</v>
      </c>
      <c r="B14" s="12">
        <v>4478</v>
      </c>
      <c r="C14" s="12">
        <v>4478</v>
      </c>
      <c r="D14" s="11">
        <v>648247.65</v>
      </c>
      <c r="E14" s="11">
        <v>102869.36</v>
      </c>
      <c r="F14" s="9">
        <f t="shared" si="0"/>
        <v>144.76276239392587</v>
      </c>
    </row>
    <row r="15" spans="1:6" x14ac:dyDescent="0.3">
      <c r="A15" s="10" t="s">
        <v>154</v>
      </c>
      <c r="B15" s="10">
        <v>7289</v>
      </c>
      <c r="C15" s="10">
        <v>7289</v>
      </c>
      <c r="D15" s="9">
        <v>987765.37</v>
      </c>
      <c r="E15" s="9">
        <v>165598.82999999999</v>
      </c>
      <c r="F15" s="9">
        <f t="shared" si="0"/>
        <v>135.51452462614898</v>
      </c>
    </row>
    <row r="16" spans="1:6" x14ac:dyDescent="0.3">
      <c r="A16" s="12" t="s">
        <v>155</v>
      </c>
      <c r="B16" s="12">
        <v>5513</v>
      </c>
      <c r="C16" s="12">
        <v>5513</v>
      </c>
      <c r="D16" s="11">
        <v>726033.19</v>
      </c>
      <c r="E16" s="11">
        <v>117045.1</v>
      </c>
      <c r="F16" s="9">
        <f t="shared" si="0"/>
        <v>131.69475603119898</v>
      </c>
    </row>
    <row r="17" spans="1:6" x14ac:dyDescent="0.3">
      <c r="A17" s="10" t="s">
        <v>156</v>
      </c>
      <c r="B17" s="10">
        <v>7069</v>
      </c>
      <c r="C17" s="10">
        <v>7069</v>
      </c>
      <c r="D17" s="9">
        <v>924645</v>
      </c>
      <c r="E17" s="9">
        <v>153242.46</v>
      </c>
      <c r="F17" s="9">
        <f t="shared" si="0"/>
        <v>130.80280096194653</v>
      </c>
    </row>
    <row r="18" spans="1:6" x14ac:dyDescent="0.3">
      <c r="A18" s="12" t="s">
        <v>157</v>
      </c>
      <c r="B18" s="12">
        <v>6555</v>
      </c>
      <c r="C18" s="8">
        <v>6555</v>
      </c>
      <c r="D18" s="13">
        <v>826437.13</v>
      </c>
      <c r="E18" s="13">
        <v>139731.28</v>
      </c>
      <c r="F18" s="9">
        <f t="shared" si="0"/>
        <v>126.07736536994661</v>
      </c>
    </row>
    <row r="19" spans="1:6" x14ac:dyDescent="0.3">
      <c r="A19" s="10" t="s">
        <v>158</v>
      </c>
      <c r="B19" s="8">
        <v>7003</v>
      </c>
      <c r="C19" s="8">
        <v>7003</v>
      </c>
      <c r="D19" s="13">
        <v>953356.25</v>
      </c>
      <c r="E19" s="13">
        <v>167241.99</v>
      </c>
      <c r="F19" s="9">
        <f t="shared" si="0"/>
        <v>136.13540625446237</v>
      </c>
    </row>
    <row r="20" spans="1:6" x14ac:dyDescent="0.3">
      <c r="A20" s="8" t="s">
        <v>159</v>
      </c>
      <c r="B20" s="8">
        <v>6798</v>
      </c>
      <c r="C20" s="8">
        <v>6798</v>
      </c>
      <c r="D20" s="13">
        <v>973534.09</v>
      </c>
      <c r="E20" s="13">
        <v>159344.84</v>
      </c>
      <c r="F20" s="9">
        <f t="shared" si="0"/>
        <v>143.2088982053545</v>
      </c>
    </row>
    <row r="21" spans="1:6" x14ac:dyDescent="0.3">
      <c r="A21" s="8" t="s">
        <v>160</v>
      </c>
      <c r="B21" s="8">
        <v>6749</v>
      </c>
      <c r="C21" s="8">
        <v>6749</v>
      </c>
      <c r="D21" s="13">
        <v>977544.69</v>
      </c>
      <c r="E21" s="13">
        <v>151229.82999999999</v>
      </c>
      <c r="F21" s="9">
        <f t="shared" si="0"/>
        <v>144.84289376203881</v>
      </c>
    </row>
    <row r="22" spans="1:6" x14ac:dyDescent="0.3">
      <c r="A22" s="8" t="s">
        <v>161</v>
      </c>
      <c r="B22" s="8">
        <v>6099</v>
      </c>
      <c r="C22" s="8">
        <v>6099</v>
      </c>
      <c r="D22" s="13">
        <v>856077.86</v>
      </c>
      <c r="E22" s="13">
        <v>155900.43</v>
      </c>
      <c r="F22" s="9">
        <f t="shared" si="0"/>
        <v>140.36364322020003</v>
      </c>
    </row>
    <row r="23" spans="1:6" x14ac:dyDescent="0.3">
      <c r="A23" s="8" t="s">
        <v>162</v>
      </c>
      <c r="B23" s="8">
        <v>6159</v>
      </c>
      <c r="C23" s="8">
        <v>6159</v>
      </c>
      <c r="D23" s="13">
        <v>867953.46</v>
      </c>
      <c r="E23" s="13">
        <v>159853.82</v>
      </c>
      <c r="F23" s="9">
        <f t="shared" si="0"/>
        <v>140.9244130540672</v>
      </c>
    </row>
    <row r="24" spans="1:6" x14ac:dyDescent="0.3">
      <c r="A24" s="8" t="s">
        <v>163</v>
      </c>
      <c r="B24" s="8">
        <v>6351</v>
      </c>
      <c r="C24" s="8">
        <v>6351</v>
      </c>
      <c r="D24" s="13">
        <v>838576.64000000001</v>
      </c>
      <c r="E24" s="13">
        <v>146915</v>
      </c>
      <c r="F24" s="9">
        <f t="shared" si="0"/>
        <v>132.03851991812314</v>
      </c>
    </row>
    <row r="25" spans="1:6" x14ac:dyDescent="0.3">
      <c r="D25" s="5"/>
      <c r="E25" s="5"/>
      <c r="F25" s="5"/>
    </row>
    <row r="26" spans="1:6" x14ac:dyDescent="0.3">
      <c r="D26" s="5"/>
      <c r="E26" s="5"/>
      <c r="F26" s="5"/>
    </row>
    <row r="27" spans="1:6" x14ac:dyDescent="0.3">
      <c r="D27" s="5"/>
      <c r="E27" s="5"/>
      <c r="F27" s="5"/>
    </row>
    <row r="28" spans="1:6" x14ac:dyDescent="0.3">
      <c r="D28" s="5"/>
      <c r="E28" s="5"/>
      <c r="F28" s="5"/>
    </row>
    <row r="29" spans="1:6" x14ac:dyDescent="0.3">
      <c r="D29" s="5"/>
      <c r="E29" s="5"/>
      <c r="F29" s="5"/>
    </row>
    <row r="30" spans="1:6" x14ac:dyDescent="0.3">
      <c r="D30" s="5"/>
      <c r="E30" s="5"/>
      <c r="F30" s="5"/>
    </row>
    <row r="31" spans="1:6" x14ac:dyDescent="0.3">
      <c r="D31" s="5"/>
      <c r="E31" s="5"/>
      <c r="F31" s="5"/>
    </row>
    <row r="32" spans="1:6" x14ac:dyDescent="0.3">
      <c r="D32" s="5"/>
      <c r="E32" s="5"/>
      <c r="F32" s="5"/>
    </row>
    <row r="33" spans="4:6" x14ac:dyDescent="0.3">
      <c r="D33" s="5"/>
      <c r="E33" s="5"/>
      <c r="F33" s="5"/>
    </row>
    <row r="34" spans="4:6" x14ac:dyDescent="0.3">
      <c r="D34" s="5"/>
      <c r="E34" s="5"/>
      <c r="F34" s="5"/>
    </row>
    <row r="35" spans="4:6" x14ac:dyDescent="0.3">
      <c r="D35" s="5"/>
      <c r="E35" s="5"/>
      <c r="F35" s="5"/>
    </row>
    <row r="36" spans="4:6" x14ac:dyDescent="0.3">
      <c r="D36" s="5"/>
      <c r="E36" s="5"/>
      <c r="F36" s="5"/>
    </row>
    <row r="37" spans="4:6" x14ac:dyDescent="0.3">
      <c r="D37" s="5"/>
      <c r="E37" s="5"/>
      <c r="F37" s="5"/>
    </row>
    <row r="38" spans="4:6" x14ac:dyDescent="0.3">
      <c r="D38" s="5"/>
      <c r="E38" s="5"/>
      <c r="F38" s="5"/>
    </row>
    <row r="39" spans="4:6" x14ac:dyDescent="0.3">
      <c r="D39" s="5"/>
      <c r="E39" s="5"/>
      <c r="F39" s="5"/>
    </row>
    <row r="40" spans="4:6" x14ac:dyDescent="0.3">
      <c r="D40" s="5"/>
      <c r="E40" s="5"/>
      <c r="F40" s="5"/>
    </row>
    <row r="41" spans="4:6" x14ac:dyDescent="0.3">
      <c r="D41" s="5"/>
      <c r="E41" s="5"/>
      <c r="F41" s="5"/>
    </row>
    <row r="42" spans="4:6" x14ac:dyDescent="0.3">
      <c r="D42" s="5"/>
      <c r="E42" s="5"/>
      <c r="F42" s="5"/>
    </row>
    <row r="43" spans="4:6" x14ac:dyDescent="0.3">
      <c r="D43" s="5"/>
      <c r="E43" s="5"/>
      <c r="F43" s="5"/>
    </row>
    <row r="44" spans="4:6" x14ac:dyDescent="0.3">
      <c r="D44" s="5"/>
      <c r="E44" s="5"/>
      <c r="F44" s="5"/>
    </row>
    <row r="45" spans="4:6" x14ac:dyDescent="0.3">
      <c r="D45" s="5"/>
      <c r="E45" s="5"/>
      <c r="F45" s="5"/>
    </row>
    <row r="46" spans="4:6" x14ac:dyDescent="0.3">
      <c r="D46" s="5"/>
      <c r="E46" s="5"/>
      <c r="F46" s="5"/>
    </row>
    <row r="47" spans="4:6" x14ac:dyDescent="0.3">
      <c r="D47" s="5"/>
      <c r="E47" s="5"/>
      <c r="F47" s="5"/>
    </row>
    <row r="48" spans="4:6" x14ac:dyDescent="0.3">
      <c r="D48" s="5"/>
      <c r="E48" s="5"/>
      <c r="F48" s="5"/>
    </row>
    <row r="49" spans="4:6" x14ac:dyDescent="0.3">
      <c r="D49" s="5"/>
      <c r="E49" s="5"/>
      <c r="F49" s="5"/>
    </row>
    <row r="50" spans="4:6" x14ac:dyDescent="0.3">
      <c r="D50" s="5"/>
      <c r="E50" s="5"/>
      <c r="F50" s="5"/>
    </row>
    <row r="51" spans="4:6" x14ac:dyDescent="0.3">
      <c r="D51" s="5"/>
      <c r="E51" s="5"/>
      <c r="F51" s="5"/>
    </row>
    <row r="52" spans="4:6" x14ac:dyDescent="0.3">
      <c r="D52" s="5"/>
      <c r="E52" s="5"/>
      <c r="F52" s="5"/>
    </row>
    <row r="53" spans="4:6" x14ac:dyDescent="0.3">
      <c r="D53" s="5"/>
      <c r="E53" s="5"/>
      <c r="F53" s="5"/>
    </row>
    <row r="54" spans="4:6" x14ac:dyDescent="0.3">
      <c r="D54" s="5"/>
      <c r="E54" s="5"/>
      <c r="F54" s="5"/>
    </row>
    <row r="55" spans="4:6" x14ac:dyDescent="0.3">
      <c r="D55" s="5"/>
      <c r="E55" s="5"/>
      <c r="F55" s="5"/>
    </row>
    <row r="56" spans="4:6" x14ac:dyDescent="0.3">
      <c r="D56" s="5"/>
      <c r="E56" s="5"/>
      <c r="F56" s="5"/>
    </row>
    <row r="57" spans="4:6" x14ac:dyDescent="0.3">
      <c r="D57" s="5"/>
      <c r="E57" s="5"/>
      <c r="F57" s="5"/>
    </row>
    <row r="58" spans="4:6" x14ac:dyDescent="0.3">
      <c r="D58" s="5"/>
      <c r="E58" s="5"/>
      <c r="F58" s="5"/>
    </row>
    <row r="59" spans="4:6" x14ac:dyDescent="0.3">
      <c r="D59" s="5"/>
      <c r="E59" s="5"/>
      <c r="F59" s="5"/>
    </row>
    <row r="60" spans="4:6" x14ac:dyDescent="0.3">
      <c r="D60" s="5"/>
      <c r="E60" s="5"/>
      <c r="F60" s="5"/>
    </row>
    <row r="61" spans="4:6" x14ac:dyDescent="0.3">
      <c r="D61" s="5"/>
      <c r="E61" s="5"/>
      <c r="F61" s="5"/>
    </row>
    <row r="62" spans="4:6" x14ac:dyDescent="0.3">
      <c r="D62" s="5"/>
      <c r="E62" s="5"/>
      <c r="F62" s="5"/>
    </row>
    <row r="63" spans="4:6" x14ac:dyDescent="0.3">
      <c r="D63" s="5"/>
      <c r="E63" s="5"/>
      <c r="F63" s="5"/>
    </row>
    <row r="64" spans="4:6" x14ac:dyDescent="0.3">
      <c r="D64" s="5"/>
      <c r="E64" s="5"/>
      <c r="F64" s="5"/>
    </row>
    <row r="65" spans="4:6" x14ac:dyDescent="0.3">
      <c r="D65" s="5"/>
      <c r="E65" s="5"/>
      <c r="F65" s="5"/>
    </row>
    <row r="66" spans="4:6" x14ac:dyDescent="0.3">
      <c r="D66" s="5"/>
      <c r="E66" s="5"/>
      <c r="F66" s="5"/>
    </row>
    <row r="67" spans="4:6" x14ac:dyDescent="0.3">
      <c r="D67" s="5"/>
      <c r="E67" s="5"/>
      <c r="F67" s="5"/>
    </row>
    <row r="68" spans="4:6" x14ac:dyDescent="0.3">
      <c r="D68" s="5"/>
      <c r="E68" s="5"/>
      <c r="F68" s="5"/>
    </row>
    <row r="69" spans="4:6" x14ac:dyDescent="0.3">
      <c r="D69" s="5"/>
      <c r="E69" s="5"/>
      <c r="F69" s="5"/>
    </row>
    <row r="70" spans="4:6" x14ac:dyDescent="0.3">
      <c r="D70" s="5"/>
      <c r="E70" s="5"/>
      <c r="F70" s="5"/>
    </row>
    <row r="71" spans="4:6" x14ac:dyDescent="0.3">
      <c r="D71" s="5"/>
      <c r="E71" s="5"/>
      <c r="F71" s="5"/>
    </row>
    <row r="72" spans="4:6" x14ac:dyDescent="0.3">
      <c r="D72" s="5"/>
      <c r="E72" s="5"/>
      <c r="F72" s="5"/>
    </row>
    <row r="73" spans="4:6" x14ac:dyDescent="0.3">
      <c r="D73" s="5"/>
      <c r="E73" s="5"/>
      <c r="F73" s="5"/>
    </row>
    <row r="74" spans="4:6" x14ac:dyDescent="0.3">
      <c r="D74" s="5"/>
      <c r="E74" s="5"/>
      <c r="F74" s="5"/>
    </row>
    <row r="75" spans="4:6" x14ac:dyDescent="0.3">
      <c r="D75" s="5"/>
      <c r="E75" s="5"/>
      <c r="F75" s="5"/>
    </row>
    <row r="76" spans="4:6" x14ac:dyDescent="0.3">
      <c r="D76" s="5"/>
      <c r="E76" s="5"/>
      <c r="F76" s="5"/>
    </row>
    <row r="77" spans="4:6" x14ac:dyDescent="0.3">
      <c r="D77" s="5"/>
      <c r="E77" s="5"/>
      <c r="F77" s="5"/>
    </row>
    <row r="78" spans="4:6" x14ac:dyDescent="0.3">
      <c r="D78" s="5"/>
      <c r="E78" s="5"/>
      <c r="F78" s="5"/>
    </row>
    <row r="79" spans="4:6" x14ac:dyDescent="0.3">
      <c r="D79" s="5"/>
      <c r="E79" s="5"/>
      <c r="F79" s="5"/>
    </row>
    <row r="80" spans="4:6" x14ac:dyDescent="0.3">
      <c r="D80" s="5"/>
      <c r="E80" s="5"/>
      <c r="F80" s="5"/>
    </row>
    <row r="81" spans="4:6" x14ac:dyDescent="0.3">
      <c r="D81" s="5"/>
      <c r="E81" s="5"/>
      <c r="F81" s="5"/>
    </row>
    <row r="82" spans="4:6" x14ac:dyDescent="0.3">
      <c r="D82" s="5"/>
      <c r="E82" s="5"/>
      <c r="F82" s="5"/>
    </row>
    <row r="83" spans="4:6" x14ac:dyDescent="0.3">
      <c r="D83" s="5"/>
      <c r="E83" s="5"/>
      <c r="F83" s="5"/>
    </row>
    <row r="84" spans="4:6" x14ac:dyDescent="0.3">
      <c r="D84" s="5"/>
      <c r="E84" s="5"/>
      <c r="F84" s="5"/>
    </row>
    <row r="85" spans="4:6" x14ac:dyDescent="0.3">
      <c r="D85" s="5"/>
      <c r="E85" s="5"/>
      <c r="F85" s="5"/>
    </row>
    <row r="86" spans="4:6" x14ac:dyDescent="0.3">
      <c r="D86" s="5"/>
      <c r="E86" s="5"/>
      <c r="F86" s="5"/>
    </row>
    <row r="87" spans="4:6" x14ac:dyDescent="0.3">
      <c r="D87" s="5"/>
      <c r="E87" s="5"/>
      <c r="F87" s="5"/>
    </row>
    <row r="88" spans="4:6" x14ac:dyDescent="0.3">
      <c r="D88" s="5"/>
      <c r="E88" s="5"/>
      <c r="F88" s="5"/>
    </row>
    <row r="89" spans="4:6" x14ac:dyDescent="0.3">
      <c r="D89" s="5"/>
      <c r="E89" s="5"/>
      <c r="F89" s="5"/>
    </row>
    <row r="90" spans="4:6" x14ac:dyDescent="0.3">
      <c r="D90" s="5"/>
      <c r="E90" s="5"/>
      <c r="F90" s="5"/>
    </row>
    <row r="91" spans="4:6" x14ac:dyDescent="0.3">
      <c r="D91" s="5"/>
      <c r="E91" s="5"/>
      <c r="F91" s="5"/>
    </row>
    <row r="92" spans="4:6" x14ac:dyDescent="0.3">
      <c r="D92" s="5"/>
      <c r="E92" s="5"/>
      <c r="F92" s="5"/>
    </row>
    <row r="93" spans="4:6" x14ac:dyDescent="0.3">
      <c r="D93" s="5"/>
      <c r="E93" s="5"/>
      <c r="F93" s="5"/>
    </row>
    <row r="94" spans="4:6" x14ac:dyDescent="0.3">
      <c r="D94" s="5"/>
      <c r="E94" s="5"/>
      <c r="F94" s="5"/>
    </row>
    <row r="95" spans="4:6" x14ac:dyDescent="0.3">
      <c r="D95" s="5"/>
      <c r="E95" s="5"/>
      <c r="F95" s="5"/>
    </row>
    <row r="96" spans="4:6" x14ac:dyDescent="0.3">
      <c r="D96" s="5"/>
      <c r="E96" s="5"/>
      <c r="F96" s="5"/>
    </row>
    <row r="97" spans="4:6" x14ac:dyDescent="0.3">
      <c r="D97" s="5"/>
      <c r="E97" s="5"/>
      <c r="F97" s="5"/>
    </row>
    <row r="98" spans="4:6" x14ac:dyDescent="0.3">
      <c r="D98" s="5"/>
      <c r="E98" s="5"/>
      <c r="F98" s="5"/>
    </row>
    <row r="99" spans="4:6" x14ac:dyDescent="0.3">
      <c r="D99" s="5"/>
      <c r="E99" s="5"/>
      <c r="F99" s="5"/>
    </row>
    <row r="100" spans="4:6" x14ac:dyDescent="0.3">
      <c r="D100" s="5"/>
      <c r="E100" s="5"/>
      <c r="F100" s="5"/>
    </row>
    <row r="101" spans="4:6" x14ac:dyDescent="0.3">
      <c r="D101" s="5"/>
      <c r="E101" s="5"/>
      <c r="F101" s="5"/>
    </row>
    <row r="102" spans="4:6" x14ac:dyDescent="0.3">
      <c r="D102" s="5"/>
      <c r="E102" s="5"/>
      <c r="F102" s="5"/>
    </row>
    <row r="103" spans="4:6" x14ac:dyDescent="0.3">
      <c r="D103" s="5"/>
      <c r="E103" s="5"/>
      <c r="F103" s="5"/>
    </row>
    <row r="104" spans="4:6" x14ac:dyDescent="0.3">
      <c r="D104" s="5"/>
      <c r="E104" s="5"/>
      <c r="F104" s="5"/>
    </row>
    <row r="105" spans="4:6" x14ac:dyDescent="0.3">
      <c r="D105" s="5"/>
      <c r="E105" s="5"/>
      <c r="F105" s="5"/>
    </row>
    <row r="106" spans="4:6" x14ac:dyDescent="0.3">
      <c r="D106" s="5"/>
      <c r="E106" s="5"/>
      <c r="F106" s="5"/>
    </row>
    <row r="107" spans="4:6" x14ac:dyDescent="0.3">
      <c r="D107" s="5"/>
      <c r="E107" s="5"/>
      <c r="F107" s="5"/>
    </row>
    <row r="108" spans="4:6" x14ac:dyDescent="0.3">
      <c r="D108" s="5"/>
      <c r="E108" s="5"/>
      <c r="F108" s="5"/>
    </row>
    <row r="109" spans="4:6" x14ac:dyDescent="0.3">
      <c r="D109" s="5"/>
      <c r="E109" s="5"/>
      <c r="F109" s="5"/>
    </row>
    <row r="110" spans="4:6" x14ac:dyDescent="0.3">
      <c r="D110" s="5"/>
      <c r="E110" s="5"/>
      <c r="F110" s="5"/>
    </row>
    <row r="111" spans="4:6" x14ac:dyDescent="0.3">
      <c r="D111" s="5"/>
      <c r="E111" s="5"/>
      <c r="F111" s="5"/>
    </row>
    <row r="112" spans="4:6" x14ac:dyDescent="0.3">
      <c r="D112" s="5"/>
      <c r="E112" s="5"/>
      <c r="F112" s="5"/>
    </row>
    <row r="113" spans="4:6" x14ac:dyDescent="0.3">
      <c r="D113" s="5"/>
      <c r="E113" s="5"/>
      <c r="F113" s="5"/>
    </row>
    <row r="114" spans="4:6" x14ac:dyDescent="0.3">
      <c r="D114" s="5"/>
      <c r="E114" s="5"/>
      <c r="F114" s="5"/>
    </row>
    <row r="115" spans="4:6" x14ac:dyDescent="0.3">
      <c r="D115" s="5"/>
      <c r="E115" s="5"/>
      <c r="F115" s="5"/>
    </row>
    <row r="116" spans="4:6" x14ac:dyDescent="0.3">
      <c r="D116" s="5"/>
      <c r="E116" s="5"/>
      <c r="F116" s="5"/>
    </row>
    <row r="117" spans="4:6" x14ac:dyDescent="0.3">
      <c r="D117" s="5"/>
      <c r="E117" s="5"/>
      <c r="F117" s="5"/>
    </row>
    <row r="118" spans="4:6" x14ac:dyDescent="0.3">
      <c r="D118" s="5"/>
      <c r="E118" s="5"/>
      <c r="F118" s="5"/>
    </row>
    <row r="119" spans="4:6" x14ac:dyDescent="0.3">
      <c r="D119" s="5"/>
      <c r="E119" s="5"/>
      <c r="F119" s="5"/>
    </row>
    <row r="120" spans="4:6" x14ac:dyDescent="0.3">
      <c r="D120" s="5"/>
      <c r="E120" s="5"/>
      <c r="F120" s="5"/>
    </row>
    <row r="121" spans="4:6" x14ac:dyDescent="0.3">
      <c r="D121" s="5"/>
      <c r="E121" s="5"/>
      <c r="F121" s="5"/>
    </row>
    <row r="122" spans="4:6" x14ac:dyDescent="0.3">
      <c r="D122" s="5"/>
      <c r="E122" s="5"/>
      <c r="F122" s="5"/>
    </row>
    <row r="123" spans="4:6" x14ac:dyDescent="0.3">
      <c r="D123" s="5"/>
      <c r="E123" s="5"/>
      <c r="F123" s="5"/>
    </row>
    <row r="124" spans="4:6" x14ac:dyDescent="0.3">
      <c r="D124" s="5"/>
      <c r="E124" s="5"/>
      <c r="F124" s="5"/>
    </row>
    <row r="125" spans="4:6" x14ac:dyDescent="0.3">
      <c r="D125" s="5"/>
      <c r="E125" s="5"/>
      <c r="F125" s="5"/>
    </row>
    <row r="126" spans="4:6" x14ac:dyDescent="0.3">
      <c r="D126" s="5"/>
      <c r="E126" s="5"/>
      <c r="F126" s="5"/>
    </row>
    <row r="127" spans="4:6" x14ac:dyDescent="0.3">
      <c r="D127" s="5"/>
      <c r="E127" s="5"/>
      <c r="F127" s="5"/>
    </row>
    <row r="128" spans="4:6" x14ac:dyDescent="0.3">
      <c r="D128" s="5"/>
      <c r="E128" s="5"/>
      <c r="F128" s="5"/>
    </row>
    <row r="129" spans="4:6" x14ac:dyDescent="0.3">
      <c r="D129" s="5"/>
      <c r="E129" s="5"/>
      <c r="F129" s="5"/>
    </row>
    <row r="130" spans="4:6" x14ac:dyDescent="0.3">
      <c r="D130" s="5"/>
      <c r="E130" s="5"/>
      <c r="F130" s="5"/>
    </row>
    <row r="131" spans="4:6" x14ac:dyDescent="0.3">
      <c r="D131" s="5"/>
      <c r="E131" s="5"/>
      <c r="F131" s="5"/>
    </row>
    <row r="132" spans="4:6" x14ac:dyDescent="0.3">
      <c r="D132" s="5"/>
      <c r="E132" s="5"/>
      <c r="F132" s="5"/>
    </row>
    <row r="133" spans="4:6" x14ac:dyDescent="0.3">
      <c r="D133" s="5"/>
      <c r="E133" s="5"/>
      <c r="F133" s="5"/>
    </row>
    <row r="134" spans="4:6" x14ac:dyDescent="0.3">
      <c r="D134" s="5"/>
      <c r="E134" s="5"/>
      <c r="F134" s="5"/>
    </row>
    <row r="135" spans="4:6" x14ac:dyDescent="0.3">
      <c r="D135" s="5"/>
      <c r="E135" s="5"/>
      <c r="F135" s="5"/>
    </row>
    <row r="136" spans="4:6" x14ac:dyDescent="0.3">
      <c r="D136" s="5"/>
      <c r="E136" s="5"/>
      <c r="F136" s="5"/>
    </row>
    <row r="137" spans="4:6" x14ac:dyDescent="0.3">
      <c r="D137" s="5"/>
      <c r="E137" s="5"/>
      <c r="F137" s="5"/>
    </row>
    <row r="138" spans="4:6" x14ac:dyDescent="0.3">
      <c r="D138" s="5"/>
      <c r="E138" s="5"/>
      <c r="F138" s="5"/>
    </row>
    <row r="139" spans="4:6" x14ac:dyDescent="0.3">
      <c r="D139" s="5"/>
      <c r="E139" s="5"/>
      <c r="F139" s="5"/>
    </row>
    <row r="140" spans="4:6" x14ac:dyDescent="0.3">
      <c r="D140" s="5"/>
      <c r="E140" s="5"/>
      <c r="F140" s="5"/>
    </row>
    <row r="141" spans="4:6" x14ac:dyDescent="0.3">
      <c r="D141" s="5"/>
      <c r="E141" s="5"/>
      <c r="F141" s="5"/>
    </row>
    <row r="142" spans="4:6" x14ac:dyDescent="0.3">
      <c r="D142" s="5"/>
      <c r="E142" s="5"/>
      <c r="F142" s="5"/>
    </row>
    <row r="143" spans="4:6" x14ac:dyDescent="0.3">
      <c r="D143" s="5"/>
      <c r="E143" s="5"/>
      <c r="F143" s="5"/>
    </row>
    <row r="144" spans="4:6" x14ac:dyDescent="0.3">
      <c r="D144" s="5"/>
      <c r="E144" s="5"/>
      <c r="F144" s="5"/>
    </row>
    <row r="145" spans="4:6" x14ac:dyDescent="0.3">
      <c r="D145" s="5"/>
      <c r="E145" s="5"/>
      <c r="F145" s="5"/>
    </row>
    <row r="146" spans="4:6" x14ac:dyDescent="0.3">
      <c r="D146" s="5"/>
      <c r="E146" s="5"/>
      <c r="F146" s="5"/>
    </row>
    <row r="147" spans="4:6" x14ac:dyDescent="0.3">
      <c r="D147" s="5"/>
      <c r="E147" s="5"/>
      <c r="F147" s="5"/>
    </row>
    <row r="148" spans="4:6" x14ac:dyDescent="0.3">
      <c r="D148" s="5"/>
      <c r="E148" s="5"/>
      <c r="F148" s="5"/>
    </row>
    <row r="149" spans="4:6" x14ac:dyDescent="0.3">
      <c r="D149" s="5"/>
      <c r="E149" s="5"/>
      <c r="F149" s="5"/>
    </row>
    <row r="150" spans="4:6" x14ac:dyDescent="0.3">
      <c r="D150" s="5"/>
      <c r="E150" s="5"/>
      <c r="F150" s="5"/>
    </row>
    <row r="151" spans="4:6" x14ac:dyDescent="0.3">
      <c r="D151" s="5"/>
      <c r="E151" s="5"/>
      <c r="F151" s="5"/>
    </row>
    <row r="152" spans="4:6" x14ac:dyDescent="0.3">
      <c r="D152" s="5"/>
      <c r="E152" s="5"/>
      <c r="F152" s="5"/>
    </row>
    <row r="153" spans="4:6" x14ac:dyDescent="0.3">
      <c r="D153" s="5"/>
      <c r="E153" s="5"/>
      <c r="F153" s="5"/>
    </row>
    <row r="154" spans="4:6" x14ac:dyDescent="0.3">
      <c r="D154" s="5"/>
      <c r="E154" s="5"/>
      <c r="F154" s="5"/>
    </row>
    <row r="155" spans="4:6" x14ac:dyDescent="0.3">
      <c r="D155" s="5"/>
      <c r="E155" s="5"/>
      <c r="F155" s="5"/>
    </row>
    <row r="156" spans="4:6" x14ac:dyDescent="0.3">
      <c r="D156" s="5"/>
      <c r="E156" s="5"/>
      <c r="F156" s="5"/>
    </row>
    <row r="157" spans="4:6" x14ac:dyDescent="0.3">
      <c r="D157" s="5"/>
      <c r="E157" s="5"/>
      <c r="F157" s="5"/>
    </row>
    <row r="158" spans="4:6" x14ac:dyDescent="0.3">
      <c r="D158" s="5"/>
      <c r="E158" s="5"/>
      <c r="F158" s="5"/>
    </row>
    <row r="159" spans="4:6" x14ac:dyDescent="0.3">
      <c r="D159" s="5"/>
      <c r="E159" s="5"/>
      <c r="F159" s="5"/>
    </row>
    <row r="160" spans="4:6" x14ac:dyDescent="0.3">
      <c r="D160" s="5"/>
      <c r="E160" s="5"/>
      <c r="F160" s="5"/>
    </row>
    <row r="161" spans="4:6" x14ac:dyDescent="0.3">
      <c r="D161" s="5"/>
      <c r="E161" s="5"/>
      <c r="F161" s="5"/>
    </row>
    <row r="162" spans="4:6" x14ac:dyDescent="0.3">
      <c r="D162" s="5"/>
      <c r="E162" s="5"/>
      <c r="F162" s="5"/>
    </row>
    <row r="163" spans="4:6" x14ac:dyDescent="0.3">
      <c r="D163" s="5"/>
      <c r="E163" s="5"/>
      <c r="F163" s="5"/>
    </row>
    <row r="164" spans="4:6" x14ac:dyDescent="0.3">
      <c r="D164" s="5"/>
      <c r="E164" s="5"/>
      <c r="F164" s="5"/>
    </row>
    <row r="165" spans="4:6" x14ac:dyDescent="0.3">
      <c r="D165" s="5"/>
      <c r="E165" s="5"/>
      <c r="F165" s="5"/>
    </row>
    <row r="166" spans="4:6" x14ac:dyDescent="0.3">
      <c r="D166" s="5"/>
      <c r="E166" s="5"/>
      <c r="F166" s="5"/>
    </row>
    <row r="167" spans="4:6" x14ac:dyDescent="0.3">
      <c r="D167" s="5"/>
      <c r="E167" s="5"/>
      <c r="F167" s="5"/>
    </row>
    <row r="168" spans="4:6" x14ac:dyDescent="0.3">
      <c r="D168" s="5"/>
      <c r="E168" s="5"/>
      <c r="F168" s="5"/>
    </row>
    <row r="169" spans="4:6" x14ac:dyDescent="0.3">
      <c r="D169" s="5"/>
      <c r="E169" s="5"/>
      <c r="F169" s="5"/>
    </row>
    <row r="170" spans="4:6" x14ac:dyDescent="0.3">
      <c r="D170" s="5"/>
      <c r="E170" s="5"/>
      <c r="F170" s="5"/>
    </row>
    <row r="171" spans="4:6" x14ac:dyDescent="0.3">
      <c r="D171" s="5"/>
      <c r="E171" s="5"/>
      <c r="F171" s="5"/>
    </row>
    <row r="172" spans="4:6" x14ac:dyDescent="0.3">
      <c r="D172" s="5"/>
      <c r="E172" s="5"/>
      <c r="F172" s="5"/>
    </row>
    <row r="173" spans="4:6" x14ac:dyDescent="0.3">
      <c r="D173" s="5"/>
      <c r="E173" s="5"/>
      <c r="F173" s="5"/>
    </row>
    <row r="174" spans="4:6" x14ac:dyDescent="0.3">
      <c r="D174" s="5"/>
      <c r="E174" s="5"/>
      <c r="F174" s="5"/>
    </row>
    <row r="175" spans="4:6" x14ac:dyDescent="0.3">
      <c r="D175" s="5"/>
      <c r="E175" s="5"/>
      <c r="F175" s="5"/>
    </row>
    <row r="176" spans="4:6" x14ac:dyDescent="0.3">
      <c r="D176" s="5"/>
      <c r="E176" s="5"/>
      <c r="F176" s="5"/>
    </row>
    <row r="177" spans="4:6" x14ac:dyDescent="0.3">
      <c r="D177" s="5"/>
      <c r="E177" s="5"/>
      <c r="F177" s="5"/>
    </row>
    <row r="178" spans="4:6" x14ac:dyDescent="0.3">
      <c r="D178" s="5"/>
      <c r="E178" s="5"/>
      <c r="F178" s="5"/>
    </row>
    <row r="179" spans="4:6" x14ac:dyDescent="0.3">
      <c r="D179" s="5"/>
      <c r="E179" s="5"/>
      <c r="F179" s="5"/>
    </row>
    <row r="180" spans="4:6" x14ac:dyDescent="0.3">
      <c r="D180" s="5"/>
      <c r="E180" s="5"/>
      <c r="F180" s="5"/>
    </row>
    <row r="181" spans="4:6" x14ac:dyDescent="0.3">
      <c r="D181" s="5"/>
      <c r="E181" s="5"/>
      <c r="F181" s="5"/>
    </row>
    <row r="182" spans="4:6" x14ac:dyDescent="0.3">
      <c r="D182" s="5"/>
      <c r="E182" s="5"/>
      <c r="F182" s="5"/>
    </row>
    <row r="183" spans="4:6" x14ac:dyDescent="0.3">
      <c r="D183" s="5"/>
      <c r="E183" s="5"/>
      <c r="F183" s="5"/>
    </row>
    <row r="184" spans="4:6" x14ac:dyDescent="0.3">
      <c r="D184" s="5"/>
      <c r="E184" s="5"/>
      <c r="F184" s="5"/>
    </row>
    <row r="185" spans="4:6" x14ac:dyDescent="0.3">
      <c r="D185" s="5"/>
      <c r="E185" s="5"/>
      <c r="F185" s="5"/>
    </row>
    <row r="186" spans="4:6" x14ac:dyDescent="0.3">
      <c r="D186" s="5"/>
      <c r="E186" s="5"/>
      <c r="F186" s="5"/>
    </row>
    <row r="187" spans="4:6" x14ac:dyDescent="0.3">
      <c r="D187" s="5"/>
      <c r="E187" s="5"/>
      <c r="F187" s="5"/>
    </row>
    <row r="188" spans="4:6" x14ac:dyDescent="0.3">
      <c r="D188" s="5"/>
      <c r="E188" s="5"/>
      <c r="F188" s="5"/>
    </row>
    <row r="189" spans="4:6" x14ac:dyDescent="0.3">
      <c r="D189" s="5"/>
      <c r="E189" s="5"/>
      <c r="F189" s="5"/>
    </row>
    <row r="190" spans="4:6" x14ac:dyDescent="0.3">
      <c r="D190" s="5"/>
      <c r="E190" s="5"/>
      <c r="F190" s="5"/>
    </row>
    <row r="191" spans="4:6" x14ac:dyDescent="0.3">
      <c r="D191" s="5"/>
      <c r="E191" s="5"/>
      <c r="F191" s="5"/>
    </row>
    <row r="192" spans="4:6" x14ac:dyDescent="0.3">
      <c r="D192" s="5"/>
      <c r="E192" s="5"/>
      <c r="F192" s="5"/>
    </row>
    <row r="193" spans="4:6" x14ac:dyDescent="0.3">
      <c r="D193" s="5"/>
      <c r="E193" s="5"/>
      <c r="F193" s="5"/>
    </row>
    <row r="194" spans="4:6" x14ac:dyDescent="0.3">
      <c r="D194" s="5"/>
      <c r="E194" s="5"/>
      <c r="F194" s="5"/>
    </row>
    <row r="195" spans="4:6" x14ac:dyDescent="0.3">
      <c r="D195" s="5"/>
      <c r="E195" s="5"/>
      <c r="F195" s="5"/>
    </row>
    <row r="196" spans="4:6" x14ac:dyDescent="0.3">
      <c r="D196" s="5"/>
      <c r="E196" s="5"/>
      <c r="F196" s="5"/>
    </row>
    <row r="197" spans="4:6" x14ac:dyDescent="0.3">
      <c r="D197" s="5"/>
      <c r="E197" s="5"/>
      <c r="F197" s="5"/>
    </row>
    <row r="198" spans="4:6" x14ac:dyDescent="0.3">
      <c r="D198" s="5"/>
      <c r="E198" s="5"/>
      <c r="F198" s="5"/>
    </row>
    <row r="199" spans="4:6" x14ac:dyDescent="0.3">
      <c r="D199" s="5"/>
      <c r="E199" s="5"/>
      <c r="F199" s="5"/>
    </row>
    <row r="200" spans="4:6" x14ac:dyDescent="0.3">
      <c r="D200" s="5"/>
      <c r="E200" s="5"/>
      <c r="F200" s="5"/>
    </row>
    <row r="201" spans="4:6" x14ac:dyDescent="0.3">
      <c r="D201" s="5"/>
      <c r="E201" s="5"/>
      <c r="F201" s="5"/>
    </row>
    <row r="202" spans="4:6" x14ac:dyDescent="0.3">
      <c r="D202" s="5"/>
      <c r="E202" s="5"/>
      <c r="F202" s="5"/>
    </row>
    <row r="203" spans="4:6" x14ac:dyDescent="0.3">
      <c r="D203" s="5"/>
      <c r="E203" s="5"/>
      <c r="F203" s="5"/>
    </row>
    <row r="204" spans="4:6" x14ac:dyDescent="0.3">
      <c r="D204" s="5"/>
      <c r="E204" s="5"/>
      <c r="F204" s="5"/>
    </row>
    <row r="205" spans="4:6" x14ac:dyDescent="0.3">
      <c r="D205" s="5"/>
      <c r="E205" s="5"/>
      <c r="F205" s="5"/>
    </row>
    <row r="206" spans="4:6" x14ac:dyDescent="0.3">
      <c r="D206" s="5"/>
      <c r="E206" s="5"/>
      <c r="F206" s="5"/>
    </row>
    <row r="207" spans="4:6" x14ac:dyDescent="0.3">
      <c r="D207" s="5"/>
      <c r="E207" s="5"/>
      <c r="F207" s="5"/>
    </row>
    <row r="208" spans="4:6" x14ac:dyDescent="0.3">
      <c r="D208" s="5"/>
      <c r="E208" s="5"/>
      <c r="F208" s="5"/>
    </row>
    <row r="209" spans="4:6" x14ac:dyDescent="0.3">
      <c r="D209" s="5"/>
      <c r="E209" s="5"/>
      <c r="F209" s="5"/>
    </row>
    <row r="210" spans="4:6" x14ac:dyDescent="0.3">
      <c r="D210" s="5"/>
      <c r="E210" s="5"/>
      <c r="F210" s="5"/>
    </row>
    <row r="211" spans="4:6" x14ac:dyDescent="0.3">
      <c r="D211" s="5"/>
      <c r="E211" s="5"/>
      <c r="F211" s="5"/>
    </row>
    <row r="212" spans="4:6" x14ac:dyDescent="0.3">
      <c r="D212" s="5"/>
      <c r="E212" s="5"/>
      <c r="F212" s="5"/>
    </row>
    <row r="213" spans="4:6" x14ac:dyDescent="0.3">
      <c r="D213" s="5"/>
      <c r="E213" s="5"/>
      <c r="F213" s="5"/>
    </row>
    <row r="214" spans="4:6" x14ac:dyDescent="0.3">
      <c r="D214" s="5"/>
      <c r="E214" s="5"/>
      <c r="F214" s="5"/>
    </row>
    <row r="215" spans="4:6" x14ac:dyDescent="0.3">
      <c r="D215" s="5"/>
      <c r="E215" s="5"/>
      <c r="F215" s="5"/>
    </row>
    <row r="216" spans="4:6" x14ac:dyDescent="0.3">
      <c r="D216" s="5"/>
      <c r="E216" s="5"/>
      <c r="F216" s="5"/>
    </row>
    <row r="217" spans="4:6" x14ac:dyDescent="0.3">
      <c r="D217" s="5"/>
      <c r="E217" s="5"/>
      <c r="F217" s="5"/>
    </row>
    <row r="218" spans="4:6" x14ac:dyDescent="0.3">
      <c r="D218" s="5"/>
      <c r="E218" s="5"/>
      <c r="F218" s="5"/>
    </row>
    <row r="219" spans="4:6" x14ac:dyDescent="0.3">
      <c r="D219" s="5"/>
      <c r="E219" s="5"/>
      <c r="F219" s="5"/>
    </row>
    <row r="220" spans="4:6" x14ac:dyDescent="0.3">
      <c r="D220" s="5"/>
      <c r="E220" s="5"/>
      <c r="F220" s="5"/>
    </row>
    <row r="221" spans="4:6" x14ac:dyDescent="0.3">
      <c r="D221" s="5"/>
      <c r="E221" s="5"/>
      <c r="F221" s="5"/>
    </row>
    <row r="222" spans="4:6" x14ac:dyDescent="0.3">
      <c r="D222" s="5"/>
      <c r="E222" s="5"/>
      <c r="F222" s="5"/>
    </row>
    <row r="223" spans="4:6" x14ac:dyDescent="0.3">
      <c r="D223" s="5"/>
      <c r="E223" s="5"/>
      <c r="F223" s="5"/>
    </row>
    <row r="224" spans="4:6" x14ac:dyDescent="0.3">
      <c r="D224" s="5"/>
      <c r="E224" s="5"/>
      <c r="F224" s="5"/>
    </row>
    <row r="225" spans="4:6" x14ac:dyDescent="0.3">
      <c r="D225" s="5"/>
      <c r="E225" s="5"/>
      <c r="F225" s="5"/>
    </row>
    <row r="226" spans="4:6" x14ac:dyDescent="0.3">
      <c r="D226" s="5"/>
      <c r="E226" s="5"/>
      <c r="F226" s="5"/>
    </row>
    <row r="227" spans="4:6" x14ac:dyDescent="0.3">
      <c r="D227" s="5"/>
      <c r="E227" s="5"/>
      <c r="F227" s="5"/>
    </row>
    <row r="228" spans="4:6" x14ac:dyDescent="0.3">
      <c r="D228" s="5"/>
      <c r="E228" s="5"/>
      <c r="F228" s="5"/>
    </row>
    <row r="229" spans="4:6" x14ac:dyDescent="0.3">
      <c r="D229" s="5"/>
      <c r="E229" s="5"/>
      <c r="F229" s="5"/>
    </row>
    <row r="230" spans="4:6" x14ac:dyDescent="0.3">
      <c r="D230" s="5"/>
      <c r="E230" s="5"/>
      <c r="F230" s="5"/>
    </row>
    <row r="231" spans="4:6" x14ac:dyDescent="0.3">
      <c r="D231" s="5"/>
      <c r="E231" s="5"/>
      <c r="F231" s="5"/>
    </row>
    <row r="232" spans="4:6" x14ac:dyDescent="0.3">
      <c r="D232" s="5"/>
      <c r="E232" s="5"/>
      <c r="F232" s="5"/>
    </row>
    <row r="233" spans="4:6" x14ac:dyDescent="0.3">
      <c r="D233" s="5"/>
      <c r="E233" s="5"/>
      <c r="F233" s="5"/>
    </row>
    <row r="234" spans="4:6" x14ac:dyDescent="0.3">
      <c r="D234" s="5"/>
      <c r="E234" s="5"/>
      <c r="F234" s="5"/>
    </row>
    <row r="235" spans="4:6" x14ac:dyDescent="0.3">
      <c r="D235" s="5"/>
      <c r="E235" s="5"/>
      <c r="F235" s="5"/>
    </row>
    <row r="236" spans="4:6" x14ac:dyDescent="0.3">
      <c r="D236" s="5"/>
      <c r="E236" s="5"/>
      <c r="F236" s="5"/>
    </row>
    <row r="237" spans="4:6" x14ac:dyDescent="0.3">
      <c r="D237" s="5"/>
      <c r="E237" s="5"/>
      <c r="F237" s="5"/>
    </row>
    <row r="238" spans="4:6" x14ac:dyDescent="0.3">
      <c r="D238" s="5"/>
      <c r="E238" s="5"/>
      <c r="F238" s="5"/>
    </row>
    <row r="239" spans="4:6" x14ac:dyDescent="0.3">
      <c r="D239" s="5"/>
      <c r="E239" s="5"/>
      <c r="F239" s="5"/>
    </row>
    <row r="240" spans="4:6" x14ac:dyDescent="0.3">
      <c r="D240" s="5"/>
      <c r="E240" s="5"/>
      <c r="F240" s="5"/>
    </row>
    <row r="241" spans="4:6" x14ac:dyDescent="0.3">
      <c r="D241" s="5"/>
      <c r="E241" s="5"/>
      <c r="F241" s="5"/>
    </row>
    <row r="242" spans="4:6" x14ac:dyDescent="0.3">
      <c r="D242" s="5"/>
      <c r="E242" s="5"/>
      <c r="F242" s="5"/>
    </row>
    <row r="243" spans="4:6" x14ac:dyDescent="0.3">
      <c r="D243" s="5"/>
      <c r="E243" s="5"/>
      <c r="F243" s="5"/>
    </row>
    <row r="244" spans="4:6" x14ac:dyDescent="0.3">
      <c r="D244" s="5"/>
      <c r="E244" s="5"/>
      <c r="F244" s="5"/>
    </row>
    <row r="245" spans="4:6" x14ac:dyDescent="0.3">
      <c r="D245" s="5"/>
      <c r="E245" s="5"/>
      <c r="F245" s="5"/>
    </row>
    <row r="246" spans="4:6" x14ac:dyDescent="0.3">
      <c r="D246" s="5"/>
      <c r="E246" s="5"/>
      <c r="F246" s="5"/>
    </row>
    <row r="247" spans="4:6" x14ac:dyDescent="0.3">
      <c r="D247" s="5"/>
      <c r="E247" s="5"/>
      <c r="F247" s="5"/>
    </row>
    <row r="248" spans="4:6" x14ac:dyDescent="0.3">
      <c r="D248" s="5"/>
      <c r="E248" s="5"/>
      <c r="F248" s="5"/>
    </row>
    <row r="249" spans="4:6" x14ac:dyDescent="0.3">
      <c r="D249" s="5"/>
      <c r="E249" s="5"/>
      <c r="F249" s="5"/>
    </row>
    <row r="250" spans="4:6" x14ac:dyDescent="0.3">
      <c r="D250" s="5"/>
      <c r="E250" s="5"/>
      <c r="F250" s="5"/>
    </row>
    <row r="251" spans="4:6" x14ac:dyDescent="0.3">
      <c r="D251" s="5"/>
      <c r="E251" s="5"/>
      <c r="F251" s="5"/>
    </row>
    <row r="252" spans="4:6" x14ac:dyDescent="0.3">
      <c r="D252" s="5"/>
      <c r="E252" s="5"/>
      <c r="F252" s="5"/>
    </row>
    <row r="253" spans="4:6" x14ac:dyDescent="0.3">
      <c r="D253" s="5"/>
      <c r="E253" s="5"/>
      <c r="F253" s="5"/>
    </row>
    <row r="254" spans="4:6" x14ac:dyDescent="0.3">
      <c r="D254" s="5"/>
      <c r="E254" s="5"/>
      <c r="F254" s="5"/>
    </row>
    <row r="255" spans="4:6" x14ac:dyDescent="0.3">
      <c r="D255" s="5"/>
      <c r="E255" s="5"/>
      <c r="F255" s="5"/>
    </row>
    <row r="256" spans="4:6" x14ac:dyDescent="0.3">
      <c r="D256" s="5"/>
      <c r="E256" s="5"/>
      <c r="F256" s="5"/>
    </row>
    <row r="257" spans="4:6" x14ac:dyDescent="0.3">
      <c r="D257" s="5"/>
      <c r="E257" s="5"/>
      <c r="F257" s="5"/>
    </row>
    <row r="258" spans="4:6" x14ac:dyDescent="0.3">
      <c r="D258" s="5"/>
      <c r="E258" s="5"/>
      <c r="F258" s="5"/>
    </row>
    <row r="259" spans="4:6" x14ac:dyDescent="0.3">
      <c r="D259" s="5"/>
      <c r="E259" s="5"/>
      <c r="F259" s="5"/>
    </row>
    <row r="260" spans="4:6" x14ac:dyDescent="0.3">
      <c r="D260" s="5"/>
      <c r="E260" s="5"/>
      <c r="F260" s="5"/>
    </row>
    <row r="261" spans="4:6" x14ac:dyDescent="0.3">
      <c r="D261" s="5"/>
      <c r="E261" s="5"/>
      <c r="F261" s="5"/>
    </row>
    <row r="262" spans="4:6" x14ac:dyDescent="0.3">
      <c r="D262" s="5"/>
      <c r="E262" s="5"/>
      <c r="F262" s="5"/>
    </row>
    <row r="263" spans="4:6" x14ac:dyDescent="0.3">
      <c r="D263" s="5"/>
      <c r="E263" s="5"/>
      <c r="F263" s="5"/>
    </row>
    <row r="264" spans="4:6" x14ac:dyDescent="0.3">
      <c r="D264" s="5"/>
      <c r="E264" s="5"/>
      <c r="F264" s="5"/>
    </row>
    <row r="265" spans="4:6" x14ac:dyDescent="0.3">
      <c r="D265" s="5"/>
      <c r="E265" s="5"/>
      <c r="F265" s="5"/>
    </row>
    <row r="266" spans="4:6" x14ac:dyDescent="0.3">
      <c r="D266" s="5"/>
      <c r="E266" s="5"/>
      <c r="F266" s="5"/>
    </row>
    <row r="267" spans="4:6" x14ac:dyDescent="0.3">
      <c r="D267" s="5"/>
      <c r="E267" s="5"/>
      <c r="F267" s="5"/>
    </row>
    <row r="268" spans="4:6" x14ac:dyDescent="0.3">
      <c r="D268" s="5"/>
      <c r="E268" s="5"/>
      <c r="F268" s="5"/>
    </row>
    <row r="269" spans="4:6" x14ac:dyDescent="0.3">
      <c r="D269" s="5"/>
      <c r="E269" s="5"/>
      <c r="F269" s="5"/>
    </row>
    <row r="270" spans="4:6" x14ac:dyDescent="0.3">
      <c r="D270" s="5"/>
      <c r="E270" s="5"/>
      <c r="F270" s="5"/>
    </row>
    <row r="271" spans="4:6" x14ac:dyDescent="0.3">
      <c r="D271" s="5"/>
      <c r="E271" s="5"/>
      <c r="F271" s="5"/>
    </row>
    <row r="272" spans="4:6" x14ac:dyDescent="0.3">
      <c r="D272" s="5"/>
      <c r="E272" s="5"/>
      <c r="F272" s="5"/>
    </row>
    <row r="273" spans="4:6" x14ac:dyDescent="0.3">
      <c r="D273" s="5"/>
      <c r="E273" s="5"/>
      <c r="F273" s="5"/>
    </row>
    <row r="274" spans="4:6" x14ac:dyDescent="0.3">
      <c r="D274" s="5"/>
      <c r="E274" s="5"/>
      <c r="F274" s="5"/>
    </row>
    <row r="275" spans="4:6" x14ac:dyDescent="0.3">
      <c r="D275" s="5"/>
      <c r="E275" s="5"/>
      <c r="F275" s="5"/>
    </row>
    <row r="276" spans="4:6" x14ac:dyDescent="0.3">
      <c r="D276" s="5"/>
      <c r="E276" s="5"/>
      <c r="F276" s="5"/>
    </row>
    <row r="277" spans="4:6" x14ac:dyDescent="0.3">
      <c r="D277" s="5"/>
      <c r="E277" s="5"/>
      <c r="F277" s="5"/>
    </row>
    <row r="278" spans="4:6" x14ac:dyDescent="0.3">
      <c r="D278" s="5"/>
      <c r="E278" s="5"/>
      <c r="F278" s="5"/>
    </row>
    <row r="279" spans="4:6" x14ac:dyDescent="0.3">
      <c r="D279" s="5"/>
      <c r="E279" s="5"/>
      <c r="F279" s="5"/>
    </row>
    <row r="280" spans="4:6" x14ac:dyDescent="0.3">
      <c r="D280" s="5"/>
      <c r="E280" s="5"/>
      <c r="F280" s="5"/>
    </row>
    <row r="281" spans="4:6" x14ac:dyDescent="0.3">
      <c r="D281" s="5"/>
      <c r="E281" s="5"/>
      <c r="F281" s="5"/>
    </row>
    <row r="282" spans="4:6" x14ac:dyDescent="0.3">
      <c r="D282" s="5"/>
      <c r="E282" s="5"/>
      <c r="F282" s="5"/>
    </row>
    <row r="283" spans="4:6" x14ac:dyDescent="0.3">
      <c r="D283" s="5"/>
      <c r="E283" s="5"/>
      <c r="F283" s="5"/>
    </row>
    <row r="284" spans="4:6" x14ac:dyDescent="0.3">
      <c r="D284" s="5"/>
      <c r="E284" s="5"/>
      <c r="F284" s="5"/>
    </row>
    <row r="285" spans="4:6" x14ac:dyDescent="0.3">
      <c r="D285" s="5"/>
      <c r="E285" s="5"/>
      <c r="F285" s="5"/>
    </row>
    <row r="286" spans="4:6" x14ac:dyDescent="0.3">
      <c r="D286" s="5"/>
      <c r="E286" s="5"/>
      <c r="F286" s="5"/>
    </row>
    <row r="287" spans="4:6" x14ac:dyDescent="0.3">
      <c r="D287" s="5"/>
      <c r="E287" s="5"/>
      <c r="F287" s="5"/>
    </row>
    <row r="288" spans="4:6" x14ac:dyDescent="0.3">
      <c r="D288" s="5"/>
      <c r="E288" s="5"/>
      <c r="F288" s="5"/>
    </row>
    <row r="289" spans="4:6" x14ac:dyDescent="0.3">
      <c r="D289" s="5"/>
      <c r="E289" s="5"/>
      <c r="F289" s="5"/>
    </row>
    <row r="290" spans="4:6" x14ac:dyDescent="0.3">
      <c r="D290" s="5"/>
      <c r="E290" s="5"/>
      <c r="F290" s="5"/>
    </row>
    <row r="291" spans="4:6" x14ac:dyDescent="0.3">
      <c r="D291" s="5"/>
      <c r="E291" s="5"/>
      <c r="F291" s="5"/>
    </row>
    <row r="292" spans="4:6" x14ac:dyDescent="0.3">
      <c r="D292" s="5"/>
      <c r="E292" s="5"/>
      <c r="F292" s="5"/>
    </row>
    <row r="293" spans="4:6" x14ac:dyDescent="0.3">
      <c r="D293" s="5"/>
      <c r="E293" s="5"/>
      <c r="F293" s="5"/>
    </row>
    <row r="294" spans="4:6" x14ac:dyDescent="0.3">
      <c r="D294" s="5"/>
      <c r="E294" s="5"/>
      <c r="F294" s="5"/>
    </row>
    <row r="295" spans="4:6" x14ac:dyDescent="0.3">
      <c r="D295" s="5"/>
      <c r="E295" s="5"/>
      <c r="F295" s="5"/>
    </row>
    <row r="296" spans="4:6" x14ac:dyDescent="0.3">
      <c r="D296" s="5"/>
      <c r="E296" s="5"/>
      <c r="F296" s="5"/>
    </row>
    <row r="297" spans="4:6" x14ac:dyDescent="0.3">
      <c r="D297" s="5"/>
      <c r="E297" s="5"/>
      <c r="F297" s="5"/>
    </row>
    <row r="298" spans="4:6" x14ac:dyDescent="0.3">
      <c r="D298" s="5"/>
      <c r="E298" s="5"/>
      <c r="F298" s="5"/>
    </row>
    <row r="299" spans="4:6" x14ac:dyDescent="0.3">
      <c r="D299" s="5"/>
      <c r="E299" s="5"/>
      <c r="F299" s="5"/>
    </row>
    <row r="300" spans="4:6" x14ac:dyDescent="0.3">
      <c r="D300" s="5"/>
      <c r="E300" s="5"/>
      <c r="F300" s="5"/>
    </row>
    <row r="301" spans="4:6" x14ac:dyDescent="0.3">
      <c r="D301" s="5"/>
      <c r="E301" s="5"/>
      <c r="F301" s="5"/>
    </row>
    <row r="302" spans="4:6" x14ac:dyDescent="0.3">
      <c r="D302" s="5"/>
      <c r="E302" s="5"/>
      <c r="F302" s="5"/>
    </row>
    <row r="303" spans="4:6" x14ac:dyDescent="0.3">
      <c r="D303" s="5"/>
      <c r="E303" s="5"/>
      <c r="F303" s="5"/>
    </row>
    <row r="304" spans="4:6" x14ac:dyDescent="0.3">
      <c r="D304" s="5"/>
      <c r="E304" s="5"/>
      <c r="F304" s="5"/>
    </row>
    <row r="305" spans="4:6" x14ac:dyDescent="0.3">
      <c r="D305" s="5"/>
      <c r="E305" s="5"/>
      <c r="F305" s="5"/>
    </row>
    <row r="306" spans="4:6" x14ac:dyDescent="0.3">
      <c r="D306" s="5"/>
      <c r="E306" s="5"/>
      <c r="F306" s="5"/>
    </row>
    <row r="307" spans="4:6" x14ac:dyDescent="0.3">
      <c r="D307" s="5"/>
      <c r="E307" s="5"/>
      <c r="F307" s="5"/>
    </row>
    <row r="308" spans="4:6" x14ac:dyDescent="0.3">
      <c r="D308" s="5"/>
      <c r="E308" s="5"/>
      <c r="F308" s="5"/>
    </row>
    <row r="309" spans="4:6" x14ac:dyDescent="0.3">
      <c r="D309" s="5"/>
      <c r="E309" s="5"/>
      <c r="F309" s="5"/>
    </row>
    <row r="310" spans="4:6" x14ac:dyDescent="0.3">
      <c r="D310" s="5"/>
      <c r="E310" s="5"/>
      <c r="F310" s="5"/>
    </row>
    <row r="311" spans="4:6" x14ac:dyDescent="0.3">
      <c r="D311" s="5"/>
      <c r="E311" s="5"/>
      <c r="F311" s="5"/>
    </row>
    <row r="312" spans="4:6" x14ac:dyDescent="0.3">
      <c r="D312" s="5"/>
      <c r="E312" s="5"/>
      <c r="F312" s="5"/>
    </row>
    <row r="313" spans="4:6" x14ac:dyDescent="0.3">
      <c r="D313" s="5"/>
      <c r="E313" s="5"/>
      <c r="F313" s="5"/>
    </row>
    <row r="314" spans="4:6" x14ac:dyDescent="0.3">
      <c r="D314" s="5"/>
      <c r="E314" s="5"/>
      <c r="F314" s="5"/>
    </row>
    <row r="315" spans="4:6" x14ac:dyDescent="0.3">
      <c r="D315" s="5"/>
      <c r="E315" s="5"/>
      <c r="F315" s="5"/>
    </row>
    <row r="316" spans="4:6" x14ac:dyDescent="0.3">
      <c r="D316" s="5"/>
      <c r="E316" s="5"/>
      <c r="F316" s="5"/>
    </row>
    <row r="317" spans="4:6" x14ac:dyDescent="0.3">
      <c r="D317" s="5"/>
      <c r="E317" s="5"/>
      <c r="F317" s="5"/>
    </row>
    <row r="318" spans="4:6" x14ac:dyDescent="0.3">
      <c r="D318" s="5"/>
      <c r="E318" s="5"/>
      <c r="F318" s="5"/>
    </row>
    <row r="319" spans="4:6" x14ac:dyDescent="0.3">
      <c r="D319" s="5"/>
      <c r="E319" s="5"/>
      <c r="F319" s="5"/>
    </row>
    <row r="320" spans="4:6" x14ac:dyDescent="0.3">
      <c r="D320" s="5"/>
      <c r="E320" s="5"/>
      <c r="F320" s="5"/>
    </row>
    <row r="321" spans="4:6" x14ac:dyDescent="0.3">
      <c r="D321" s="5"/>
      <c r="E321" s="5"/>
      <c r="F321" s="5"/>
    </row>
    <row r="322" spans="4:6" x14ac:dyDescent="0.3">
      <c r="D322" s="5"/>
      <c r="E322" s="5"/>
      <c r="F322" s="5"/>
    </row>
    <row r="323" spans="4:6" x14ac:dyDescent="0.3">
      <c r="D323" s="5"/>
      <c r="E323" s="5"/>
      <c r="F323" s="5"/>
    </row>
    <row r="324" spans="4:6" x14ac:dyDescent="0.3">
      <c r="D324" s="5"/>
      <c r="E324" s="5"/>
      <c r="F324" s="5"/>
    </row>
    <row r="325" spans="4:6" x14ac:dyDescent="0.3">
      <c r="D325" s="5"/>
      <c r="E325" s="5"/>
      <c r="F325" s="5"/>
    </row>
    <row r="326" spans="4:6" x14ac:dyDescent="0.3">
      <c r="D326" s="5"/>
      <c r="E326" s="5"/>
      <c r="F326" s="5"/>
    </row>
    <row r="327" spans="4:6" x14ac:dyDescent="0.3">
      <c r="D327" s="5"/>
      <c r="E327" s="5"/>
      <c r="F327" s="5"/>
    </row>
    <row r="328" spans="4:6" x14ac:dyDescent="0.3">
      <c r="D328" s="5"/>
      <c r="E328" s="5"/>
      <c r="F328" s="5"/>
    </row>
    <row r="329" spans="4:6" x14ac:dyDescent="0.3">
      <c r="D329" s="5"/>
      <c r="E329" s="5"/>
      <c r="F329" s="5"/>
    </row>
    <row r="330" spans="4:6" x14ac:dyDescent="0.3">
      <c r="D330" s="5"/>
      <c r="E330" s="5"/>
      <c r="F330" s="5"/>
    </row>
    <row r="331" spans="4:6" x14ac:dyDescent="0.3">
      <c r="D331" s="5"/>
      <c r="E331" s="5"/>
      <c r="F331" s="5"/>
    </row>
    <row r="332" spans="4:6" x14ac:dyDescent="0.3">
      <c r="D332" s="5"/>
      <c r="E332" s="5"/>
      <c r="F332" s="5"/>
    </row>
    <row r="333" spans="4:6" x14ac:dyDescent="0.3">
      <c r="D333" s="5"/>
      <c r="E333" s="5"/>
      <c r="F333" s="5"/>
    </row>
    <row r="334" spans="4:6" x14ac:dyDescent="0.3">
      <c r="D334" s="5"/>
      <c r="E334" s="5"/>
      <c r="F334" s="5"/>
    </row>
    <row r="335" spans="4:6" x14ac:dyDescent="0.3">
      <c r="D335" s="5"/>
      <c r="E335" s="5"/>
      <c r="F335" s="5"/>
    </row>
    <row r="336" spans="4:6" x14ac:dyDescent="0.3">
      <c r="D336" s="5"/>
      <c r="E336" s="5"/>
      <c r="F336" s="5"/>
    </row>
    <row r="337" spans="4:6" x14ac:dyDescent="0.3">
      <c r="D337" s="5"/>
      <c r="E337" s="5"/>
      <c r="F337" s="5"/>
    </row>
    <row r="338" spans="4:6" x14ac:dyDescent="0.3">
      <c r="D338" s="5"/>
      <c r="E338" s="5"/>
      <c r="F338" s="5"/>
    </row>
    <row r="339" spans="4:6" x14ac:dyDescent="0.3">
      <c r="D339" s="5"/>
      <c r="E339" s="5"/>
      <c r="F339" s="5"/>
    </row>
    <row r="340" spans="4:6" x14ac:dyDescent="0.3">
      <c r="D340" s="5"/>
      <c r="E340" s="5"/>
      <c r="F340" s="5"/>
    </row>
    <row r="341" spans="4:6" x14ac:dyDescent="0.3">
      <c r="D341" s="5"/>
      <c r="E341" s="5"/>
      <c r="F341" s="5"/>
    </row>
    <row r="342" spans="4:6" x14ac:dyDescent="0.3">
      <c r="D342" s="5"/>
      <c r="E342" s="5"/>
      <c r="F342" s="5"/>
    </row>
    <row r="343" spans="4:6" x14ac:dyDescent="0.3">
      <c r="D343" s="5"/>
      <c r="E343" s="5"/>
      <c r="F343" s="5"/>
    </row>
    <row r="344" spans="4:6" x14ac:dyDescent="0.3">
      <c r="D344" s="5"/>
      <c r="E344" s="5"/>
      <c r="F344" s="5"/>
    </row>
    <row r="345" spans="4:6" x14ac:dyDescent="0.3">
      <c r="D345" s="5"/>
      <c r="E345" s="5"/>
      <c r="F345" s="5"/>
    </row>
    <row r="346" spans="4:6" x14ac:dyDescent="0.3">
      <c r="D346" s="5"/>
      <c r="E346" s="5"/>
      <c r="F346" s="5"/>
    </row>
    <row r="347" spans="4:6" x14ac:dyDescent="0.3">
      <c r="D347" s="5"/>
      <c r="E347" s="5"/>
      <c r="F347" s="5"/>
    </row>
    <row r="348" spans="4:6" x14ac:dyDescent="0.3">
      <c r="D348" s="5"/>
      <c r="E348" s="5"/>
      <c r="F348" s="5"/>
    </row>
    <row r="349" spans="4:6" x14ac:dyDescent="0.3">
      <c r="D349" s="5"/>
      <c r="E349" s="5"/>
      <c r="F349" s="5"/>
    </row>
    <row r="350" spans="4:6" x14ac:dyDescent="0.3">
      <c r="D350" s="5"/>
      <c r="E350" s="5"/>
      <c r="F350" s="5"/>
    </row>
    <row r="351" spans="4:6" x14ac:dyDescent="0.3">
      <c r="D351" s="5"/>
      <c r="E351" s="5"/>
      <c r="F351" s="5"/>
    </row>
    <row r="352" spans="4:6" x14ac:dyDescent="0.3">
      <c r="D352" s="5"/>
      <c r="E352" s="5"/>
      <c r="F352" s="5"/>
    </row>
    <row r="353" spans="4:6" x14ac:dyDescent="0.3">
      <c r="D353" s="5"/>
      <c r="E353" s="5"/>
      <c r="F353" s="5"/>
    </row>
    <row r="354" spans="4:6" x14ac:dyDescent="0.3">
      <c r="D354" s="5"/>
      <c r="E354" s="5"/>
      <c r="F354" s="5"/>
    </row>
    <row r="355" spans="4:6" x14ac:dyDescent="0.3">
      <c r="D355" s="5"/>
      <c r="E355" s="5"/>
      <c r="F355" s="5"/>
    </row>
    <row r="356" spans="4:6" x14ac:dyDescent="0.3">
      <c r="D356" s="5"/>
      <c r="E356" s="5"/>
      <c r="F356" s="5"/>
    </row>
    <row r="357" spans="4:6" x14ac:dyDescent="0.3">
      <c r="D357" s="5"/>
      <c r="E357" s="5"/>
      <c r="F357" s="5"/>
    </row>
    <row r="358" spans="4:6" x14ac:dyDescent="0.3">
      <c r="D358" s="5"/>
      <c r="E358" s="5"/>
      <c r="F358" s="5"/>
    </row>
    <row r="359" spans="4:6" x14ac:dyDescent="0.3">
      <c r="D359" s="5"/>
      <c r="E359" s="5"/>
      <c r="F359" s="5"/>
    </row>
    <row r="360" spans="4:6" x14ac:dyDescent="0.3">
      <c r="D360" s="5"/>
      <c r="E360" s="5"/>
      <c r="F360" s="5"/>
    </row>
    <row r="361" spans="4:6" x14ac:dyDescent="0.3">
      <c r="D361" s="5"/>
      <c r="E361" s="5"/>
      <c r="F361" s="5"/>
    </row>
    <row r="362" spans="4:6" x14ac:dyDescent="0.3">
      <c r="D362" s="5"/>
      <c r="E362" s="5"/>
      <c r="F362" s="5"/>
    </row>
    <row r="363" spans="4:6" x14ac:dyDescent="0.3">
      <c r="D363" s="5"/>
      <c r="E363" s="5"/>
      <c r="F363" s="5"/>
    </row>
    <row r="364" spans="4:6" x14ac:dyDescent="0.3">
      <c r="D364" s="5"/>
      <c r="E364" s="5"/>
      <c r="F364" s="5"/>
    </row>
    <row r="365" spans="4:6" x14ac:dyDescent="0.3">
      <c r="D365" s="5"/>
      <c r="E365" s="5"/>
      <c r="F365" s="5"/>
    </row>
    <row r="366" spans="4:6" x14ac:dyDescent="0.3">
      <c r="D366" s="5"/>
      <c r="E366" s="5"/>
      <c r="F366" s="5"/>
    </row>
    <row r="367" spans="4:6" x14ac:dyDescent="0.3">
      <c r="D367" s="5"/>
      <c r="E367" s="5"/>
      <c r="F367" s="5"/>
    </row>
    <row r="368" spans="4:6" x14ac:dyDescent="0.3">
      <c r="D368" s="5"/>
      <c r="E368" s="5"/>
      <c r="F368" s="5"/>
    </row>
    <row r="369" spans="4:6" x14ac:dyDescent="0.3">
      <c r="D369" s="5"/>
      <c r="E369" s="5"/>
      <c r="F369" s="5"/>
    </row>
    <row r="370" spans="4:6" x14ac:dyDescent="0.3">
      <c r="D370" s="5"/>
      <c r="E370" s="5"/>
      <c r="F370" s="5"/>
    </row>
    <row r="371" spans="4:6" x14ac:dyDescent="0.3">
      <c r="D371" s="5"/>
      <c r="E371" s="5"/>
      <c r="F371" s="5"/>
    </row>
    <row r="372" spans="4:6" x14ac:dyDescent="0.3">
      <c r="D372" s="5"/>
      <c r="E372" s="5"/>
      <c r="F372" s="5"/>
    </row>
    <row r="373" spans="4:6" x14ac:dyDescent="0.3">
      <c r="D373" s="5"/>
      <c r="E373" s="5"/>
      <c r="F373" s="5"/>
    </row>
    <row r="374" spans="4:6" x14ac:dyDescent="0.3">
      <c r="D374" s="5"/>
      <c r="E374" s="5"/>
      <c r="F374" s="5"/>
    </row>
    <row r="375" spans="4:6" x14ac:dyDescent="0.3">
      <c r="D375" s="5"/>
      <c r="E375" s="5"/>
      <c r="F375" s="5"/>
    </row>
    <row r="376" spans="4:6" x14ac:dyDescent="0.3">
      <c r="D376" s="5"/>
      <c r="E376" s="5"/>
      <c r="F376" s="5"/>
    </row>
    <row r="377" spans="4:6" x14ac:dyDescent="0.3">
      <c r="D377" s="5"/>
      <c r="E377" s="5"/>
      <c r="F377" s="5"/>
    </row>
    <row r="378" spans="4:6" x14ac:dyDescent="0.3">
      <c r="D378" s="5"/>
      <c r="E378" s="5"/>
      <c r="F378" s="5"/>
    </row>
    <row r="379" spans="4:6" x14ac:dyDescent="0.3">
      <c r="D379" s="5"/>
      <c r="E379" s="5"/>
      <c r="F379" s="5"/>
    </row>
    <row r="380" spans="4:6" x14ac:dyDescent="0.3">
      <c r="D380" s="5"/>
      <c r="E380" s="5"/>
      <c r="F380" s="5"/>
    </row>
    <row r="381" spans="4:6" x14ac:dyDescent="0.3">
      <c r="D381" s="5"/>
      <c r="E381" s="5"/>
      <c r="F381" s="5"/>
    </row>
    <row r="382" spans="4:6" x14ac:dyDescent="0.3">
      <c r="D382" s="5"/>
      <c r="E382" s="5"/>
      <c r="F382" s="5"/>
    </row>
    <row r="383" spans="4:6" x14ac:dyDescent="0.3">
      <c r="D383" s="5"/>
      <c r="E383" s="5"/>
      <c r="F383" s="5"/>
    </row>
    <row r="384" spans="4:6" x14ac:dyDescent="0.3">
      <c r="D384" s="5"/>
      <c r="E384" s="5"/>
      <c r="F384" s="5"/>
    </row>
    <row r="385" spans="4:6" x14ac:dyDescent="0.3">
      <c r="D385" s="5"/>
      <c r="E385" s="5"/>
      <c r="F385" s="5"/>
    </row>
    <row r="386" spans="4:6" x14ac:dyDescent="0.3">
      <c r="D386" s="5"/>
      <c r="E386" s="5"/>
      <c r="F386" s="5"/>
    </row>
    <row r="387" spans="4:6" x14ac:dyDescent="0.3">
      <c r="D387" s="5"/>
      <c r="E387" s="5"/>
      <c r="F387" s="5"/>
    </row>
    <row r="388" spans="4:6" x14ac:dyDescent="0.3">
      <c r="D388" s="5"/>
      <c r="E388" s="5"/>
      <c r="F388" s="5"/>
    </row>
    <row r="389" spans="4:6" x14ac:dyDescent="0.3">
      <c r="D389" s="5"/>
      <c r="E389" s="5"/>
      <c r="F389" s="5"/>
    </row>
    <row r="390" spans="4:6" x14ac:dyDescent="0.3">
      <c r="D390" s="5"/>
      <c r="E390" s="5"/>
      <c r="F390" s="5"/>
    </row>
    <row r="391" spans="4:6" x14ac:dyDescent="0.3">
      <c r="D391" s="5"/>
      <c r="E391" s="5"/>
      <c r="F391" s="5"/>
    </row>
    <row r="392" spans="4:6" x14ac:dyDescent="0.3">
      <c r="D392" s="5"/>
      <c r="E392" s="5"/>
      <c r="F392" s="5"/>
    </row>
    <row r="393" spans="4:6" x14ac:dyDescent="0.3">
      <c r="D393" s="5"/>
      <c r="E393" s="5"/>
      <c r="F393" s="5"/>
    </row>
    <row r="394" spans="4:6" x14ac:dyDescent="0.3">
      <c r="D394" s="5"/>
      <c r="E394" s="5"/>
      <c r="F394" s="5"/>
    </row>
    <row r="395" spans="4:6" x14ac:dyDescent="0.3">
      <c r="D395" s="5"/>
      <c r="E395" s="5"/>
      <c r="F395" s="5"/>
    </row>
    <row r="396" spans="4:6" x14ac:dyDescent="0.3">
      <c r="D396" s="5"/>
      <c r="E396" s="5"/>
      <c r="F396" s="5"/>
    </row>
    <row r="397" spans="4:6" x14ac:dyDescent="0.3">
      <c r="D397" s="5"/>
      <c r="E397" s="5"/>
      <c r="F397" s="5"/>
    </row>
    <row r="398" spans="4:6" x14ac:dyDescent="0.3">
      <c r="D398" s="5"/>
      <c r="E398" s="5"/>
      <c r="F398" s="5"/>
    </row>
    <row r="399" spans="4:6" x14ac:dyDescent="0.3">
      <c r="D399" s="5"/>
      <c r="E399" s="5"/>
      <c r="F399" s="5"/>
    </row>
    <row r="400" spans="4:6" x14ac:dyDescent="0.3">
      <c r="D400" s="5"/>
      <c r="E400" s="5"/>
      <c r="F400" s="5"/>
    </row>
    <row r="401" spans="4:6" x14ac:dyDescent="0.3">
      <c r="D401" s="5"/>
      <c r="E401" s="5"/>
      <c r="F401" s="5"/>
    </row>
    <row r="402" spans="4:6" x14ac:dyDescent="0.3">
      <c r="D402" s="5"/>
      <c r="E402" s="5"/>
      <c r="F402" s="5"/>
    </row>
    <row r="403" spans="4:6" x14ac:dyDescent="0.3">
      <c r="D403" s="5"/>
      <c r="E403" s="5"/>
      <c r="F403" s="5"/>
    </row>
    <row r="404" spans="4:6" x14ac:dyDescent="0.3">
      <c r="D404" s="5"/>
      <c r="E404" s="5"/>
      <c r="F404" s="5"/>
    </row>
    <row r="405" spans="4:6" x14ac:dyDescent="0.3">
      <c r="D405" s="5"/>
      <c r="E405" s="5"/>
      <c r="F405" s="5"/>
    </row>
    <row r="406" spans="4:6" x14ac:dyDescent="0.3">
      <c r="D406" s="5"/>
      <c r="E406" s="5"/>
      <c r="F406" s="5"/>
    </row>
    <row r="407" spans="4:6" x14ac:dyDescent="0.3">
      <c r="D407" s="5"/>
      <c r="E407" s="5"/>
      <c r="F407" s="5"/>
    </row>
    <row r="408" spans="4:6" x14ac:dyDescent="0.3">
      <c r="D408" s="5"/>
      <c r="E408" s="5"/>
      <c r="F408" s="5"/>
    </row>
    <row r="409" spans="4:6" x14ac:dyDescent="0.3">
      <c r="D409" s="5"/>
      <c r="E409" s="5"/>
      <c r="F409" s="5"/>
    </row>
    <row r="410" spans="4:6" x14ac:dyDescent="0.3">
      <c r="D410" s="5"/>
      <c r="E410" s="5"/>
      <c r="F410" s="5"/>
    </row>
    <row r="411" spans="4:6" x14ac:dyDescent="0.3">
      <c r="D411" s="5"/>
      <c r="E411" s="5"/>
      <c r="F411" s="5"/>
    </row>
    <row r="412" spans="4:6" x14ac:dyDescent="0.3">
      <c r="D412" s="5"/>
      <c r="E412" s="5"/>
      <c r="F412" s="5"/>
    </row>
    <row r="413" spans="4:6" x14ac:dyDescent="0.3">
      <c r="D413" s="5"/>
      <c r="E413" s="5"/>
      <c r="F413" s="5"/>
    </row>
    <row r="414" spans="4:6" x14ac:dyDescent="0.3">
      <c r="D414" s="5"/>
      <c r="E414" s="5"/>
      <c r="F414" s="5"/>
    </row>
    <row r="415" spans="4:6" x14ac:dyDescent="0.3">
      <c r="D415" s="5"/>
      <c r="E415" s="5"/>
      <c r="F415" s="5"/>
    </row>
    <row r="416" spans="4:6" x14ac:dyDescent="0.3">
      <c r="D416" s="5"/>
      <c r="E416" s="5"/>
      <c r="F416" s="5"/>
    </row>
    <row r="417" spans="4:6" x14ac:dyDescent="0.3">
      <c r="D417" s="5"/>
      <c r="E417" s="5"/>
      <c r="F417" s="5"/>
    </row>
    <row r="418" spans="4:6" x14ac:dyDescent="0.3">
      <c r="D418" s="5"/>
      <c r="E418" s="5"/>
      <c r="F418" s="5"/>
    </row>
    <row r="419" spans="4:6" x14ac:dyDescent="0.3">
      <c r="D419" s="5"/>
      <c r="E419" s="5"/>
      <c r="F419" s="5"/>
    </row>
    <row r="420" spans="4:6" x14ac:dyDescent="0.3">
      <c r="D420" s="5"/>
      <c r="E420" s="5"/>
      <c r="F420" s="5"/>
    </row>
    <row r="421" spans="4:6" x14ac:dyDescent="0.3">
      <c r="D421" s="5"/>
      <c r="E421" s="5"/>
      <c r="F421" s="5"/>
    </row>
    <row r="422" spans="4:6" x14ac:dyDescent="0.3">
      <c r="D422" s="5"/>
      <c r="E422" s="5"/>
      <c r="F422" s="5"/>
    </row>
    <row r="423" spans="4:6" x14ac:dyDescent="0.3">
      <c r="D423" s="5"/>
      <c r="E423" s="5"/>
      <c r="F423" s="5"/>
    </row>
    <row r="424" spans="4:6" x14ac:dyDescent="0.3">
      <c r="D424" s="5"/>
      <c r="E424" s="5"/>
      <c r="F424" s="5"/>
    </row>
    <row r="425" spans="4:6" x14ac:dyDescent="0.3">
      <c r="D425" s="5"/>
      <c r="E425" s="5"/>
      <c r="F425" s="5"/>
    </row>
    <row r="426" spans="4:6" x14ac:dyDescent="0.3">
      <c r="D426" s="5"/>
      <c r="E426" s="5"/>
      <c r="F426" s="5"/>
    </row>
    <row r="427" spans="4:6" x14ac:dyDescent="0.3">
      <c r="D427" s="5"/>
      <c r="E427" s="5"/>
      <c r="F427" s="5"/>
    </row>
    <row r="428" spans="4:6" x14ac:dyDescent="0.3">
      <c r="D428" s="5"/>
      <c r="E428" s="5"/>
      <c r="F428" s="5"/>
    </row>
    <row r="429" spans="4:6" x14ac:dyDescent="0.3">
      <c r="D429" s="5"/>
      <c r="E429" s="5"/>
      <c r="F429" s="5"/>
    </row>
    <row r="430" spans="4:6" x14ac:dyDescent="0.3">
      <c r="D430" s="5"/>
      <c r="E430" s="5"/>
      <c r="F430" s="5"/>
    </row>
    <row r="431" spans="4:6" x14ac:dyDescent="0.3">
      <c r="D431" s="5"/>
      <c r="E431" s="5"/>
      <c r="F431" s="5"/>
    </row>
    <row r="432" spans="4:6" x14ac:dyDescent="0.3">
      <c r="D432" s="5"/>
      <c r="E432" s="5"/>
      <c r="F432" s="5"/>
    </row>
    <row r="433" spans="4:6" x14ac:dyDescent="0.3">
      <c r="D433" s="5"/>
      <c r="E433" s="5"/>
      <c r="F433" s="5"/>
    </row>
    <row r="434" spans="4:6" x14ac:dyDescent="0.3">
      <c r="D434" s="5"/>
      <c r="E434" s="5"/>
      <c r="F434" s="5"/>
    </row>
    <row r="435" spans="4:6" x14ac:dyDescent="0.3">
      <c r="D435" s="5"/>
      <c r="E435" s="5"/>
      <c r="F435" s="5"/>
    </row>
    <row r="436" spans="4:6" x14ac:dyDescent="0.3">
      <c r="D436" s="5"/>
      <c r="E436" s="5"/>
      <c r="F436" s="5"/>
    </row>
    <row r="437" spans="4:6" x14ac:dyDescent="0.3">
      <c r="D437" s="5"/>
      <c r="E437" s="5"/>
      <c r="F437" s="5"/>
    </row>
    <row r="438" spans="4:6" x14ac:dyDescent="0.3">
      <c r="D438" s="5"/>
      <c r="E438" s="5"/>
      <c r="F438" s="5"/>
    </row>
    <row r="439" spans="4:6" x14ac:dyDescent="0.3">
      <c r="D439" s="5"/>
      <c r="E439" s="5"/>
      <c r="F439" s="5"/>
    </row>
    <row r="440" spans="4:6" x14ac:dyDescent="0.3">
      <c r="D440" s="5"/>
      <c r="E440" s="5"/>
      <c r="F440" s="5"/>
    </row>
    <row r="441" spans="4:6" x14ac:dyDescent="0.3">
      <c r="D441" s="5"/>
      <c r="E441" s="5"/>
      <c r="F441" s="5"/>
    </row>
    <row r="442" spans="4:6" x14ac:dyDescent="0.3">
      <c r="D442" s="5"/>
      <c r="E442" s="5"/>
      <c r="F442" s="5"/>
    </row>
    <row r="443" spans="4:6" x14ac:dyDescent="0.3">
      <c r="D443" s="5"/>
      <c r="E443" s="5"/>
      <c r="F443" s="5"/>
    </row>
    <row r="444" spans="4:6" x14ac:dyDescent="0.3">
      <c r="D444" s="5"/>
      <c r="E444" s="5"/>
      <c r="F444" s="5"/>
    </row>
    <row r="445" spans="4:6" x14ac:dyDescent="0.3">
      <c r="D445" s="5"/>
      <c r="E445" s="5"/>
      <c r="F445" s="5"/>
    </row>
    <row r="446" spans="4:6" x14ac:dyDescent="0.3">
      <c r="D446" s="5"/>
      <c r="E446" s="5"/>
      <c r="F446" s="5"/>
    </row>
    <row r="447" spans="4:6" x14ac:dyDescent="0.3">
      <c r="D447" s="5"/>
      <c r="E447" s="5"/>
      <c r="F447" s="5"/>
    </row>
    <row r="448" spans="4:6" x14ac:dyDescent="0.3">
      <c r="D448" s="5"/>
      <c r="E448" s="5"/>
      <c r="F448" s="5"/>
    </row>
    <row r="449" spans="4:6" x14ac:dyDescent="0.3">
      <c r="D449" s="5"/>
      <c r="E449" s="5"/>
      <c r="F449" s="5"/>
    </row>
    <row r="450" spans="4:6" x14ac:dyDescent="0.3">
      <c r="D450" s="5"/>
      <c r="E450" s="5"/>
      <c r="F450" s="5"/>
    </row>
    <row r="451" spans="4:6" x14ac:dyDescent="0.3">
      <c r="D451" s="5"/>
      <c r="E451" s="5"/>
      <c r="F451" s="5"/>
    </row>
    <row r="452" spans="4:6" x14ac:dyDescent="0.3">
      <c r="D452" s="5"/>
      <c r="E452" s="5"/>
      <c r="F452" s="5"/>
    </row>
    <row r="453" spans="4:6" x14ac:dyDescent="0.3">
      <c r="D453" s="5"/>
      <c r="E453" s="5"/>
      <c r="F453" s="5"/>
    </row>
    <row r="454" spans="4:6" x14ac:dyDescent="0.3">
      <c r="D454" s="5"/>
      <c r="E454" s="5"/>
      <c r="F454" s="5"/>
    </row>
    <row r="455" spans="4:6" x14ac:dyDescent="0.3">
      <c r="D455" s="5"/>
      <c r="E455" s="5"/>
      <c r="F455" s="5"/>
    </row>
    <row r="456" spans="4:6" x14ac:dyDescent="0.3">
      <c r="D456" s="5"/>
      <c r="E456" s="5"/>
      <c r="F456" s="5"/>
    </row>
    <row r="457" spans="4:6" x14ac:dyDescent="0.3">
      <c r="D457" s="5"/>
      <c r="E457" s="5"/>
      <c r="F457" s="5"/>
    </row>
    <row r="458" spans="4:6" x14ac:dyDescent="0.3">
      <c r="D458" s="5"/>
      <c r="E458" s="5"/>
      <c r="F458" s="5"/>
    </row>
    <row r="459" spans="4:6" x14ac:dyDescent="0.3">
      <c r="D459" s="5"/>
      <c r="E459" s="5"/>
      <c r="F459" s="5"/>
    </row>
    <row r="460" spans="4:6" x14ac:dyDescent="0.3">
      <c r="D460" s="5"/>
      <c r="E460" s="5"/>
      <c r="F460" s="5"/>
    </row>
    <row r="461" spans="4:6" x14ac:dyDescent="0.3">
      <c r="D461" s="5"/>
      <c r="E461" s="5"/>
      <c r="F461" s="5"/>
    </row>
    <row r="462" spans="4:6" x14ac:dyDescent="0.3">
      <c r="D462" s="5"/>
      <c r="E462" s="5"/>
      <c r="F462" s="5"/>
    </row>
    <row r="463" spans="4:6" x14ac:dyDescent="0.3">
      <c r="D463" s="5"/>
      <c r="E463" s="5"/>
      <c r="F463" s="5"/>
    </row>
    <row r="464" spans="4:6" x14ac:dyDescent="0.3">
      <c r="D464" s="5"/>
      <c r="E464" s="5"/>
      <c r="F464" s="5"/>
    </row>
    <row r="465" spans="4:6" x14ac:dyDescent="0.3">
      <c r="D465" s="5"/>
      <c r="E465" s="5"/>
      <c r="F465" s="5"/>
    </row>
    <row r="466" spans="4:6" x14ac:dyDescent="0.3">
      <c r="D466" s="5"/>
      <c r="E466" s="5"/>
      <c r="F466" s="5"/>
    </row>
    <row r="467" spans="4:6" x14ac:dyDescent="0.3">
      <c r="D467" s="5"/>
      <c r="E467" s="5"/>
      <c r="F467" s="5"/>
    </row>
    <row r="468" spans="4:6" x14ac:dyDescent="0.3">
      <c r="D468" s="5"/>
      <c r="E468" s="5"/>
      <c r="F468" s="5"/>
    </row>
    <row r="469" spans="4:6" x14ac:dyDescent="0.3">
      <c r="D469" s="5"/>
      <c r="E469" s="5"/>
      <c r="F469" s="5"/>
    </row>
    <row r="470" spans="4:6" x14ac:dyDescent="0.3">
      <c r="D470" s="5"/>
      <c r="E470" s="5"/>
      <c r="F470" s="5"/>
    </row>
    <row r="471" spans="4:6" x14ac:dyDescent="0.3">
      <c r="D471" s="5"/>
      <c r="E471" s="5"/>
      <c r="F471" s="5"/>
    </row>
    <row r="472" spans="4:6" x14ac:dyDescent="0.3">
      <c r="D472" s="5"/>
      <c r="E472" s="5"/>
      <c r="F472" s="5"/>
    </row>
    <row r="473" spans="4:6" x14ac:dyDescent="0.3">
      <c r="D473" s="5"/>
      <c r="E473" s="5"/>
      <c r="F473" s="5"/>
    </row>
    <row r="474" spans="4:6" x14ac:dyDescent="0.3">
      <c r="D474" s="5"/>
      <c r="E474" s="5"/>
      <c r="F474" s="5"/>
    </row>
    <row r="475" spans="4:6" x14ac:dyDescent="0.3">
      <c r="D475" s="5"/>
      <c r="E475" s="5"/>
      <c r="F475" s="5"/>
    </row>
    <row r="476" spans="4:6" x14ac:dyDescent="0.3">
      <c r="D476" s="5"/>
      <c r="E476" s="5"/>
      <c r="F476" s="5"/>
    </row>
    <row r="477" spans="4:6" x14ac:dyDescent="0.3">
      <c r="D477" s="5"/>
      <c r="E477" s="5"/>
      <c r="F477" s="5"/>
    </row>
    <row r="478" spans="4:6" x14ac:dyDescent="0.3">
      <c r="D478" s="5"/>
      <c r="E478" s="5"/>
      <c r="F478" s="5"/>
    </row>
    <row r="479" spans="4:6" x14ac:dyDescent="0.3">
      <c r="D479" s="5"/>
      <c r="E479" s="5"/>
      <c r="F479" s="5"/>
    </row>
    <row r="480" spans="4:6" x14ac:dyDescent="0.3">
      <c r="D480" s="5"/>
      <c r="E480" s="5"/>
      <c r="F480" s="5"/>
    </row>
    <row r="481" spans="4:6" x14ac:dyDescent="0.3">
      <c r="D481" s="5"/>
      <c r="E481" s="5"/>
      <c r="F481" s="5"/>
    </row>
    <row r="482" spans="4:6" x14ac:dyDescent="0.3">
      <c r="D482" s="5"/>
      <c r="E482" s="5"/>
      <c r="F482" s="5"/>
    </row>
    <row r="483" spans="4:6" x14ac:dyDescent="0.3">
      <c r="D483" s="5"/>
      <c r="E483" s="5"/>
      <c r="F483" s="5"/>
    </row>
    <row r="484" spans="4:6" x14ac:dyDescent="0.3">
      <c r="D484" s="5"/>
      <c r="E484" s="5"/>
      <c r="F484" s="5"/>
    </row>
    <row r="485" spans="4:6" x14ac:dyDescent="0.3">
      <c r="D485" s="5"/>
      <c r="E485" s="5"/>
      <c r="F485" s="5"/>
    </row>
    <row r="486" spans="4:6" x14ac:dyDescent="0.3">
      <c r="D486" s="5"/>
      <c r="E486" s="5"/>
      <c r="F486" s="5"/>
    </row>
    <row r="487" spans="4:6" x14ac:dyDescent="0.3">
      <c r="D487" s="5"/>
      <c r="E487" s="5"/>
      <c r="F487" s="5"/>
    </row>
    <row r="488" spans="4:6" x14ac:dyDescent="0.3">
      <c r="D488" s="5"/>
      <c r="E488" s="5"/>
      <c r="F488" s="5"/>
    </row>
    <row r="489" spans="4:6" x14ac:dyDescent="0.3">
      <c r="D489" s="5"/>
      <c r="E489" s="5"/>
      <c r="F489" s="5"/>
    </row>
    <row r="490" spans="4:6" x14ac:dyDescent="0.3">
      <c r="D490" s="5"/>
      <c r="E490" s="5"/>
      <c r="F490" s="5"/>
    </row>
    <row r="491" spans="4:6" x14ac:dyDescent="0.3">
      <c r="D491" s="5"/>
      <c r="E491" s="5"/>
      <c r="F491" s="5"/>
    </row>
    <row r="492" spans="4:6" x14ac:dyDescent="0.3">
      <c r="D492" s="5"/>
      <c r="E492" s="5"/>
      <c r="F492" s="5"/>
    </row>
    <row r="493" spans="4:6" x14ac:dyDescent="0.3">
      <c r="D493" s="5"/>
      <c r="E493" s="5"/>
      <c r="F493" s="5"/>
    </row>
    <row r="494" spans="4:6" x14ac:dyDescent="0.3">
      <c r="D494" s="5"/>
      <c r="E494" s="5"/>
      <c r="F494" s="5"/>
    </row>
    <row r="495" spans="4:6" x14ac:dyDescent="0.3">
      <c r="D495" s="5"/>
      <c r="E495" s="5"/>
      <c r="F495" s="5"/>
    </row>
    <row r="496" spans="4:6" x14ac:dyDescent="0.3">
      <c r="D496" s="5"/>
      <c r="E496" s="5"/>
      <c r="F496" s="5"/>
    </row>
    <row r="497" spans="4:6" x14ac:dyDescent="0.3">
      <c r="D497" s="5"/>
      <c r="E497" s="5"/>
      <c r="F497" s="5"/>
    </row>
    <row r="498" spans="4:6" x14ac:dyDescent="0.3">
      <c r="D498" s="5"/>
      <c r="E498" s="5"/>
      <c r="F498" s="5"/>
    </row>
    <row r="499" spans="4:6" x14ac:dyDescent="0.3">
      <c r="D499" s="5"/>
      <c r="E499" s="5"/>
      <c r="F499" s="5"/>
    </row>
    <row r="500" spans="4:6" x14ac:dyDescent="0.3">
      <c r="D500" s="5"/>
      <c r="E500" s="5"/>
      <c r="F500" s="5"/>
    </row>
    <row r="501" spans="4:6" x14ac:dyDescent="0.3">
      <c r="D501" s="5"/>
      <c r="E501" s="5"/>
      <c r="F501" s="5"/>
    </row>
  </sheetData>
  <autoFilter ref="A1:F5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48" customWidth="1"/>
    <col min="3" max="4" width="62" customWidth="1"/>
  </cols>
  <sheetData>
    <row r="1" spans="1:4" ht="30" customHeight="1" x14ac:dyDescent="0.3">
      <c r="A1" s="1" t="s">
        <v>64</v>
      </c>
      <c r="B1" s="1" t="s">
        <v>65</v>
      </c>
      <c r="C1" s="1" t="s">
        <v>66</v>
      </c>
      <c r="D1" s="1" t="s">
        <v>67</v>
      </c>
    </row>
    <row r="2" spans="1:4" ht="28.8" x14ac:dyDescent="0.3">
      <c r="A2" s="3" t="s">
        <v>68</v>
      </c>
      <c r="B2" s="3" t="s">
        <v>69</v>
      </c>
      <c r="C2" s="3" t="s">
        <v>70</v>
      </c>
      <c r="D2" s="3" t="s">
        <v>71</v>
      </c>
    </row>
    <row r="3" spans="1:4" ht="28.8" x14ac:dyDescent="0.3">
      <c r="A3" s="4" t="s">
        <v>72</v>
      </c>
      <c r="B3" s="4" t="s">
        <v>73</v>
      </c>
      <c r="C3" s="4" t="s">
        <v>74</v>
      </c>
      <c r="D3" s="4" t="s">
        <v>75</v>
      </c>
    </row>
    <row r="4" spans="1:4" x14ac:dyDescent="0.3">
      <c r="A4" s="3" t="s">
        <v>76</v>
      </c>
      <c r="B4" s="3" t="s">
        <v>77</v>
      </c>
      <c r="C4" s="3" t="s">
        <v>78</v>
      </c>
      <c r="D4" s="3" t="s">
        <v>79</v>
      </c>
    </row>
    <row r="5" spans="1:4" x14ac:dyDescent="0.3">
      <c r="A5" s="4" t="s">
        <v>80</v>
      </c>
      <c r="B5" s="4" t="s">
        <v>81</v>
      </c>
      <c r="C5" s="4" t="s">
        <v>82</v>
      </c>
      <c r="D5" s="4" t="s">
        <v>83</v>
      </c>
    </row>
    <row r="6" spans="1:4" x14ac:dyDescent="0.3">
      <c r="A6" s="3" t="s">
        <v>84</v>
      </c>
      <c r="B6" s="3" t="s">
        <v>81</v>
      </c>
      <c r="C6" s="3" t="s">
        <v>85</v>
      </c>
      <c r="D6" s="3" t="s">
        <v>86</v>
      </c>
    </row>
    <row r="7" spans="1:4" ht="28.8" x14ac:dyDescent="0.3">
      <c r="A7" s="4" t="s">
        <v>87</v>
      </c>
      <c r="B7" s="4" t="s">
        <v>88</v>
      </c>
      <c r="C7" s="4" t="s">
        <v>89</v>
      </c>
      <c r="D7" s="4" t="s">
        <v>90</v>
      </c>
    </row>
    <row r="8" spans="1:4" x14ac:dyDescent="0.3">
      <c r="A8" s="3" t="s">
        <v>91</v>
      </c>
      <c r="B8" s="3" t="s">
        <v>92</v>
      </c>
      <c r="C8" s="3" t="s">
        <v>93</v>
      </c>
      <c r="D8" s="3" t="s">
        <v>94</v>
      </c>
    </row>
    <row r="9" spans="1:4" x14ac:dyDescent="0.3">
      <c r="A9" s="4" t="s">
        <v>23</v>
      </c>
      <c r="B9" s="4" t="s">
        <v>95</v>
      </c>
      <c r="C9" s="4" t="s">
        <v>96</v>
      </c>
      <c r="D9" s="4" t="s">
        <v>97</v>
      </c>
    </row>
  </sheetData>
  <autoFilter ref="A1:D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8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50" customWidth="1"/>
    <col min="3" max="3" width="58" customWidth="1"/>
    <col min="4" max="4" width="28" customWidth="1"/>
    <col min="5" max="5" width="42" customWidth="1"/>
    <col min="6" max="6" width="48" customWidth="1"/>
  </cols>
  <sheetData>
    <row r="1" spans="1:6" ht="30" customHeigh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ht="28.8" x14ac:dyDescent="0.3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</row>
    <row r="3" spans="1:6" ht="28.8" x14ac:dyDescent="0.3">
      <c r="A3" s="4" t="s">
        <v>104</v>
      </c>
      <c r="B3" s="4" t="s">
        <v>110</v>
      </c>
      <c r="C3" s="4" t="s">
        <v>111</v>
      </c>
      <c r="D3" s="4" t="s">
        <v>112</v>
      </c>
      <c r="E3" s="4" t="s">
        <v>113</v>
      </c>
      <c r="F3" s="4" t="s">
        <v>114</v>
      </c>
    </row>
    <row r="4" spans="1:6" ht="28.8" x14ac:dyDescent="0.3">
      <c r="A4" s="3" t="s">
        <v>104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</row>
    <row r="5" spans="1:6" ht="28.8" x14ac:dyDescent="0.3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</row>
    <row r="6" spans="1:6" ht="28.8" x14ac:dyDescent="0.3">
      <c r="A6" s="3" t="s">
        <v>120</v>
      </c>
      <c r="B6" s="3" t="s">
        <v>126</v>
      </c>
      <c r="C6" s="3" t="s">
        <v>127</v>
      </c>
      <c r="D6" s="3" t="s">
        <v>128</v>
      </c>
      <c r="E6" s="3" t="s">
        <v>129</v>
      </c>
      <c r="F6" s="3" t="s">
        <v>130</v>
      </c>
    </row>
    <row r="7" spans="1:6" ht="28.8" x14ac:dyDescent="0.3">
      <c r="A7" s="4" t="s">
        <v>120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</row>
    <row r="8" spans="1:6" ht="28.8" x14ac:dyDescent="0.3">
      <c r="A8" s="3" t="s">
        <v>120</v>
      </c>
      <c r="B8" s="3" t="s">
        <v>136</v>
      </c>
      <c r="C8" s="3" t="s">
        <v>137</v>
      </c>
      <c r="D8" s="3" t="s">
        <v>138</v>
      </c>
      <c r="E8" s="3" t="s">
        <v>139</v>
      </c>
      <c r="F8" s="3" t="s">
        <v>140</v>
      </c>
    </row>
  </sheetData>
  <autoFilter ref="A1:F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Marketing Funnel</vt:lpstr>
      <vt:lpstr>Source Inventory</vt:lpstr>
      <vt:lpstr>Monthly Trend Template</vt:lpstr>
      <vt:lpstr>Data Quality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Gopalapu Tejaswini</cp:lastModifiedBy>
  <dcterms:created xsi:type="dcterms:W3CDTF">2026-10-22T06:36:43Z</dcterms:created>
  <dcterms:modified xsi:type="dcterms:W3CDTF">2026-10-22T07:35:57Z</dcterms:modified>
</cp:coreProperties>
</file>